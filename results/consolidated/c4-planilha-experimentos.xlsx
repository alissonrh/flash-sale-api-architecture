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das execuções" sheetId="1" r:id="rId5"/>
    <x:sheet xmlns:r="http://schemas.openxmlformats.org/officeDocument/2006/relationships" name="Resultados por estágio" sheetId="2" r:id="rId6"/>
    <x:sheet xmlns:r="http://schemas.openxmlformats.org/officeDocument/2006/relationships" name="Agregados n=3" sheetId="3" r:id="rId7"/>
    <x:sheet xmlns:r="http://schemas.openxmlformats.org/officeDocument/2006/relationships" name="HPA + rate limiting" sheetId="4" r:id="rId8"/>
    <x:sheet xmlns:r="http://schemas.openxmlformats.org/officeDocument/2006/relationships" name="Metodologia" sheetId="5" r:id="rId9"/>
    <x:sheet xmlns:r="http://schemas.openxmlformats.org/officeDocument/2006/relationships" name="Validações" sheetId="6" r:id="rI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General"/>
    <x:numFmt numFmtId="201" formatCode="#,##0"/>
    <x:numFmt numFmtId="202" formatCode="0.000"/>
    <x:numFmt numFmtId="203" formatCode="0.000000"/>
    <x:numFmt numFmtId="204" formatCode="#,##0.000"/>
    <x:numFmt numFmtId="205" formatCode="0.000000000"/>
    <x:numFmt numFmtId="206" formatCode="@"/>
  </x:numFmts>
  <x:fonts count="8">
    <x:font>
      <x:sz val="11"/>
      <x:name val="Carlito"/>
    </x:font>
    <x:font>
      <x:b/>
      <x:sz val="14"/>
      <x:color rgb="FF17365D"/>
      <x:name val="Arial"/>
    </x:font>
    <x:font>
      <x:i/>
      <x:sz val="10"/>
      <x:color rgb="FF404040"/>
      <x:name val="Arial"/>
    </x:font>
    <x:font>
      <x:b/>
      <x:sz val="10"/>
      <x:color rgb="FF17365D"/>
      <x:name val="Arial"/>
    </x:font>
    <x:font>
      <x:sz val="10"/>
      <x:color rgb="FF404040"/>
      <x:name val="Arial"/>
    </x:font>
    <x:font>
      <x:b/>
      <x:sz val="10"/>
      <x:color rgb="FFFFFFFF"/>
      <x:name val="Arial"/>
    </x:font>
    <x:font>
      <x:b/>
      <x:sz val="10"/>
      <x:color rgb="FF9C0006"/>
      <x:name val="Arial"/>
    </x:font>
    <x:font>
      <x:b/>
      <x:sz val="10"/>
      <x:color rgb="FF37562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B183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</x:fills>
  <x:borders count="8">
    <x:border/>
    <x:border>
      <x:bottom style="thin">
        <x:color rgb="FF17365D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4C7E7"/>
      </x:bottom>
    </x:border>
    <x:border>
      <x:top style="thin">
        <x:color rgb="FFB4C7E7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6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 wrapText="1"/>
    </x:xf>
    <x:xf numFmtId="200" fontId="5" fillId="3" borderId="5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0" xfId="0" applyNumberFormat="1" applyFont="1" applyFill="1" applyBorder="1" applyAlignment="1">
      <x:alignment vertical="center" wrapText="0"/>
    </x:xf>
    <x:xf numFmtId="202" fontId="4" fillId="0" borderId="0" xfId="0" applyNumberFormat="1" applyFont="1" applyFill="1" applyBorder="1" applyAlignment="1">
      <x:alignment vertical="center" wrapText="0"/>
    </x:xf>
    <x:xf numFmtId="203" fontId="4" fillId="0" borderId="0" xfId="0" applyNumberFormat="1" applyFont="1" applyFill="1" applyBorder="1" applyAlignment="1">
      <x:alignment vertical="center" wrapText="0"/>
    </x:xf>
    <x:xf numFmtId="204" fontId="4" fillId="0" borderId="0" xfId="0" applyNumberFormat="1" applyFont="1" applyFill="1" applyBorder="1" applyAlignment="1">
      <x:alignment vertical="center" wrapText="0"/>
    </x:xf>
    <x:xf numFmtId="205" fontId="4" fillId="0" borderId="0" xfId="0" applyNumberFormat="1" applyFont="1" applyFill="1" applyBorder="1" applyAlignment="1">
      <x:alignment vertical="center" wrapText="0"/>
    </x:xf>
    <x:xf numFmtId="206" fontId="4" fillId="0" borderId="0" xfId="0" applyNumberFormat="1" applyFont="1" applyFill="1" applyBorder="1" applyAlignment="1">
      <x:alignment vertical="center" wrapText="0"/>
    </x:xf>
    <x:xf numFmtId="200" fontId="4" fillId="4" borderId="0" xfId="0" applyNumberFormat="1" applyFont="1" applyFill="1" applyBorder="1" applyAlignment="1">
      <x:alignment vertical="center" wrapText="0"/>
    </x:xf>
    <x:xf numFmtId="200" fontId="4" fillId="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4" borderId="0" xfId="0" applyNumberFormat="1" applyFont="1" applyFill="1" applyBorder="1" applyAlignment="1">
      <x:alignment vertical="center" wrapText="0"/>
    </x:xf>
    <x:xf numFmtId="202" fontId="4" fillId="4" borderId="0" xfId="0" applyNumberFormat="1" applyFont="1" applyFill="1" applyBorder="1" applyAlignment="1">
      <x:alignment vertical="center" wrapText="0"/>
    </x:xf>
    <x:xf numFmtId="203" fontId="4" fillId="4" borderId="0" xfId="0" applyNumberFormat="1" applyFont="1" applyFill="1" applyBorder="1" applyAlignment="1">
      <x:alignment vertical="center" wrapText="0"/>
    </x:xf>
    <x:xf numFmtId="204" fontId="4" fillId="4" borderId="0" xfId="0" applyNumberFormat="1" applyFont="1" applyFill="1" applyBorder="1" applyAlignment="1">
      <x:alignment vertical="center" wrapText="0"/>
    </x:xf>
    <x:xf numFmtId="205" fontId="4" fillId="4" borderId="0" xfId="0" applyNumberFormat="1" applyFont="1" applyFill="1" applyBorder="1" applyAlignment="1">
      <x:alignment vertical="center" wrapText="0"/>
    </x:xf>
    <x:xf numFmtId="206" fontId="4" fillId="4" borderId="0" xfId="0" applyNumberFormat="1" applyFont="1" applyFill="1" applyBorder="1" applyAlignment="1">
      <x:alignment vertical="center" wrapText="0"/>
    </x:xf>
    <x:xf numFmtId="200" fontId="4" fillId="5" borderId="0" xfId="0" applyNumberFormat="1" applyFont="1" applyFill="1" applyBorder="1" applyAlignment="1">
      <x:alignment vertical="center" wrapText="0"/>
    </x:xf>
    <x:xf numFmtId="200" fontId="6" fillId="5" borderId="0" xfId="0" applyNumberFormat="1" applyFont="1" applyFill="1" applyBorder="1" applyAlignment="1">
      <x:alignment vertical="center" wrapText="0"/>
    </x:xf>
    <x:xf numFmtId="200" fontId="4" fillId="6" borderId="0" xfId="0" applyNumberFormat="1" applyFont="1" applyFill="1" applyBorder="1" applyAlignment="1">
      <x:alignment vertical="center" wrapText="0"/>
    </x:xf>
    <x:xf numFmtId="200" fontId="4" fillId="6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6" borderId="0" xfId="0" applyNumberFormat="1" applyFont="1" applyFill="1" applyBorder="1" applyAlignment="1">
      <x:alignment vertical="center" wrapText="0"/>
    </x:xf>
    <x:xf numFmtId="202" fontId="4" fillId="6" borderId="0" xfId="0" applyNumberFormat="1" applyFont="1" applyFill="1" applyBorder="1" applyAlignment="1">
      <x:alignment vertical="center" wrapText="0"/>
    </x:xf>
    <x:xf numFmtId="203" fontId="4" fillId="6" borderId="0" xfId="0" applyNumberFormat="1" applyFont="1" applyFill="1" applyBorder="1" applyAlignment="1">
      <x:alignment vertical="center" wrapText="0"/>
    </x:xf>
    <x:xf numFmtId="204" fontId="4" fillId="6" borderId="0" xfId="0" applyNumberFormat="1" applyFont="1" applyFill="1" applyBorder="1" applyAlignment="1">
      <x:alignment vertical="center" wrapText="0"/>
    </x:xf>
    <x:xf numFmtId="205" fontId="4" fillId="6" borderId="0" xfId="0" applyNumberFormat="1" applyFont="1" applyFill="1" applyBorder="1" applyAlignment="1">
      <x:alignment vertical="center" wrapText="0"/>
    </x:xf>
    <x:xf numFmtId="206" fontId="4" fillId="6" borderId="0" xfId="0" applyNumberFormat="1" applyFont="1" applyFill="1" applyBorder="1" applyAlignment="1">
      <x:alignment vertical="center" wrapText="0"/>
    </x:xf>
    <x:xf numFmtId="200" fontId="4" fillId="4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6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3" xfId="0" applyNumberFormat="1" applyFont="1" applyFill="1" applyBorder="1"/>
    <x:xf numFmtId="0" fontId="4" fillId="0" borderId="7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7" borderId="0" xfId="0" applyNumberFormat="1" applyFont="1" applyFill="1" applyBorder="1" applyAlignment="1">
      <x:alignment vertical="center" wrapText="0"/>
    </x:xf>
    <x:xf numFmtId="200" fontId="7" fillId="7" borderId="0" xfId="0" applyNumberFormat="1" applyFont="1" applyFill="1" applyBorder="1" applyAlignment="1">
      <x:alignment vertical="center" wrapText="0"/>
    </x:xf>
    <x:xf numFmtId="200" fontId="7" fillId="7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microsoft.com/office/2022/11/relationships/FeaturePropertyBag" Target="/xl/featurePropertyBag/featurePropertyBag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Requisições aceitas e rejeitadas com 429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total_accepted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'HPA + rate limiting'!$A$7:$A$9</c:f>
              <c:strCache>
                <c:ptCount val="0"/>
              </c:strCache>
            </c:strRef>
          </c:cat>
          <c:val>
            <c:numRef>
              <c:f>'HPA + rate limiting'!$G$7:$G$9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total_rejected_429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'HPA + rate limiting'!$A$7:$A$9</c:f>
              <c:strCache>
                <c:ptCount val="0"/>
              </c:strCache>
            </c:strRef>
          </c:cat>
          <c:val>
            <c:numRef>
              <c:f>'HPA + rate limiting'!$H$7:$H$9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4RunsTable" displayName="C4RunsTable" ref="A6:BH9" headerRowCount="1" totalsRowCount="0" totalsRowShown="0">
  <x:autoFilter ref="A6:BH9"/>
  <x:tableColumns count="60">
    <x:tableColumn id="1" name="run_id"/>
    <x:tableColumn id="2" name="validity"/>
    <x:tableColumn id="3" name="stability"/>
    <x:tableColumn id="4" name="included_in_aggregate"/>
    <x:tableColumn id="5" name="methodological_note"/>
    <x:tableColumn id="6" name="requests_started"/>
    <x:tableColumn id="7" name="classified_http_requests"/>
    <x:tableColumn id="8" name="responses_2xx"/>
    <x:tableColumn id="9" name="responses_429"/>
    <x:tableColumn id="10" name="responses_429_percent"/>
    <x:tableColumn id="11" name="responses_5xx"/>
    <x:tableColumn id="12" name="connection_errors"/>
    <x:tableColumn id="13" name="unexpected_statuses"/>
    <x:tableColumn id="14" name="unexpected_failures"/>
    <x:tableColumn id="15" name="unexpected_failures_percent"/>
    <x:tableColumn id="16" name="dropped_iterations"/>
    <x:tableColumn id="17" name="dropped_iterations_percent"/>
    <x:tableColumn id="18" name="throughput_rps"/>
    <x:tableColumn id="19" name="accepted_throughput_rps"/>
    <x:tableColumn id="20" name="rejected_throughput_rps"/>
    <x:tableColumn id="21" name="latency_average_ms"/>
    <x:tableColumn id="22" name="latency_p95_ms"/>
    <x:tableColumn id="23" name="latency_p99_ms"/>
    <x:tableColumn id="24" name="response_2xx_average_ms"/>
    <x:tableColumn id="25" name="response_2xx_p95_ms"/>
    <x:tableColumn id="26" name="response_2xx_p99_ms"/>
    <x:tableColumn id="27" name="response_429_average_ms"/>
    <x:tableColumn id="28" name="response_429_p95_ms"/>
    <x:tableColumn id="29" name="response_429_p99_ms"/>
    <x:tableColumn id="30" name="orders_created"/>
    <x:tableColumn id="31" name="orders_completed"/>
    <x:tableColumn id="32" name="orders_pending"/>
    <x:tableColumn id="33" name="orders_processing"/>
    <x:tableColumn id="34" name="orders_failed"/>
    <x:tableColumn id="35" name="completion_rate_percent"/>
    <x:tableColumn id="36" name="order_processing_p95_ms"/>
    <x:tableColumn id="37" name="order_processing_p99_ms"/>
    <x:tableColumn id="38" name="drain_duration_seconds"/>
    <x:tableColumn id="39" name="drain_completed"/>
    <x:tableColumn id="40" name="drain_objective_met"/>
    <x:tableColumn id="41" name="max_backlog"/>
    <x:tableColumn id="42" name="api_peak_cpu_cores"/>
    <x:tableColumn id="43" name="api_peak_memory_mib"/>
    <x:tableColumn id="44" name="gateway_peak_cpu_cores"/>
    <x:tableColumn id="45" name="gateway_peak_memory_mib"/>
    <x:tableColumn id="46" name="initial_api_replicas"/>
    <x:tableColumn id="47" name="configured_min_replicas"/>
    <x:tableColumn id="48" name="configured_max_replicas"/>
    <x:tableColumn id="49" name="api_pods_observed_min"/>
    <x:tableColumn id="50" name="api_pods_observed_max"/>
    <x:tableColumn id="51" name="hpa_desired_replicas_min"/>
    <x:tableColumn id="52" name="hpa_desired_replicas_max"/>
    <x:tableColumn id="53" name="hpa_current_replicas_min"/>
    <x:tableColumn id="54" name="hpa_current_replicas_max"/>
    <x:tableColumn id="55" name="first_scale_request_at"/>
    <x:tableColumn id="56" name="seconds_to_first_scale_request"/>
    <x:tableColumn id="57" name="api_restarts"/>
    <x:tableColumn id="58" name="worker_restarts"/>
    <x:tableColumn id="59" name="gateway_restarts"/>
    <x:tableColumn id="60" name="total_restar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4StageTable" displayName="C4StageTable" ref="A6:AB18" headerRowCount="1" totalsRowCount="0" totalsRowShown="0">
  <x:autoFilter ref="A6:AB18"/>
  <x:tableColumns count="28">
    <x:tableColumn id="1" name="run_id"/>
    <x:tableColumn id="2" name="validity"/>
    <x:tableColumn id="3" name="stability"/>
    <x:tableColumn id="4" name="stage"/>
    <x:tableColumn id="5" name="target_rps"/>
    <x:tableColumn id="6" name="duration_seconds"/>
    <x:tableColumn id="7" name="requests_started"/>
    <x:tableColumn id="8" name="classified_http_requests"/>
    <x:tableColumn id="9" name="responses_2xx"/>
    <x:tableColumn id="10" name="responses_429"/>
    <x:tableColumn id="11" name="responses_429_percent"/>
    <x:tableColumn id="12" name="responses_5xx"/>
    <x:tableColumn id="13" name="connection_errors"/>
    <x:tableColumn id="14" name="unexpected_statuses"/>
    <x:tableColumn id="15" name="unexpected_failures"/>
    <x:tableColumn id="16" name="dropped_iterations"/>
    <x:tableColumn id="17" name="throughput_rps"/>
    <x:tableColumn id="18" name="accepted_throughput_rps"/>
    <x:tableColumn id="19" name="rejected_throughput_rps"/>
    <x:tableColumn id="20" name="latency_average_ms"/>
    <x:tableColumn id="21" name="latency_p95_ms"/>
    <x:tableColumn id="22" name="latency_p99_ms"/>
    <x:tableColumn id="23" name="response_2xx_average_ms"/>
    <x:tableColumn id="24" name="response_2xx_p95_ms"/>
    <x:tableColumn id="25" name="response_2xx_p99_ms"/>
    <x:tableColumn id="26" name="response_429_average_ms"/>
    <x:tableColumn id="27" name="response_429_p95_ms"/>
    <x:tableColumn id="28" name="response_429_p99_m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4AggregateTable" displayName="C4AggregateTable" ref="A6:H58" headerRowCount="1" totalsRowCount="0" totalsRowShown="0">
  <x:autoFilter ref="A6:H58"/>
  <x:tableColumns count="8">
    <x:tableColumn id="1" name="metric"/>
    <x:tableColumn id="2" name="sample_size"/>
    <x:tableColumn id="3" name="mean"/>
    <x:tableColumn id="4" name="median"/>
    <x:tableColumn id="5" name="sample_standard_deviation"/>
    <x:tableColumn id="6" name="min"/>
    <x:tableColumn id="7" name="max"/>
    <x:tableColumn id="8" name="aggregation_metho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4HpaRateLimitTable" displayName="C4HpaRateLimitTable" ref="A6:AH9" headerRowCount="1" totalsRowCount="0" totalsRowShown="0">
  <x:autoFilter ref="A6:AH9"/>
  <x:tableColumns count="34">
    <x:tableColumn id="1" name="run_id"/>
    <x:tableColumn id="2" name="validity"/>
    <x:tableColumn id="3" name="stability"/>
    <x:tableColumn id="4" name="methodological_note"/>
    <x:tableColumn id="5" name="total_received"/>
    <x:tableColumn id="6" name="classified_http_requests"/>
    <x:tableColumn id="7" name="total_accepted"/>
    <x:tableColumn id="8" name="total_rejected_429"/>
    <x:tableColumn id="9" name="accepted_percent"/>
    <x:tableColumn id="10" name="rejected_percent"/>
    <x:tableColumn id="11" name="throughput_rps"/>
    <x:tableColumn id="12" name="accepted_throughput_rps"/>
    <x:tableColumn id="13" name="rejected_throughput_rps"/>
    <x:tableColumn id="14" name="rate_limiting_worked"/>
    <x:tableColumn id="15" name="rejected_side_effects_absent"/>
    <x:tableColumn id="16" name="initial_api_replicas"/>
    <x:tableColumn id="17" name="configured_min_replicas"/>
    <x:tableColumn id="18" name="configured_max_replicas"/>
    <x:tableColumn id="19" name="api_pods_observed_min"/>
    <x:tableColumn id="20" name="api_pods_observed_max"/>
    <x:tableColumn id="21" name="hpa_desired_replicas_min"/>
    <x:tableColumn id="22" name="hpa_desired_replicas_max"/>
    <x:tableColumn id="23" name="hpa_current_replicas_min"/>
    <x:tableColumn id="24" name="hpa_current_replicas_max"/>
    <x:tableColumn id="25" name="first_scale_request_at"/>
    <x:tableColumn id="26" name="seconds_to_first_scale_request"/>
    <x:tableColumn id="27" name="target_cpu_utilization"/>
    <x:tableColumn id="28" name="rate_limit_per_second"/>
    <x:tableColumn id="29" name="rate_limit_window"/>
    <x:tableColumn id="30" name="rate_limit_scope"/>
    <x:tableColumn id="31" name="api_restarts"/>
    <x:tableColumn id="32" name="gateway_restarts"/>
    <x:tableColumn id="33" name="worker_restarts"/>
    <x:tableColumn id="34" name="total_restar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4ValidationTable" displayName="C4ValidationTable" ref="A6:C17" headerRowCount="1" totalsRowCount="0" totalsRowShown="0">
  <x:autoFilter ref="A6:C17"/>
  <x:tableColumns count="3">
    <x:tableColumn id="1" name="validation"/>
    <x:tableColumn id="2" name="result"/>
    <x:tableColumn id="3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3" hidden="0" customWidth="1"/>
    <x:col min="5" max="5" width="72" hidden="0" customWidth="1"/>
    <x:col min="6" max="6" width="18" hidden="0" customWidth="1"/>
    <x:col min="7" max="7" width="26" hidden="0" customWidth="1"/>
    <x:col min="8" max="8" width="15" hidden="0" customWidth="1"/>
    <x:col min="9" max="9" width="15" hidden="0" customWidth="1"/>
    <x:col min="10" max="10" width="23" hidden="0" customWidth="1"/>
    <x:col min="11" max="11" width="15" hidden="0" customWidth="1"/>
    <x:col min="12" max="12" width="19" hidden="0" customWidth="1"/>
    <x:col min="13" max="13" width="21" hidden="0" customWidth="1"/>
    <x:col min="14" max="14" width="21" hidden="0" customWidth="1"/>
    <x:col min="15" max="15" width="28" hidden="0" customWidth="1"/>
    <x:col min="16" max="16" width="20" hidden="0" customWidth="1"/>
    <x:col min="17" max="17" width="28" hidden="0" customWidth="1"/>
    <x:col min="18" max="18" width="16" hidden="0" customWidth="1"/>
    <x:col min="19" max="19" width="25" hidden="0" customWidth="1"/>
    <x:col min="20" max="20" width="25" hidden="0" customWidth="1"/>
    <x:col min="21" max="21" width="20" hidden="0" customWidth="1"/>
    <x:col min="22" max="22" width="16" hidden="0" customWidth="1"/>
    <x:col min="23" max="23" width="16" hidden="0" customWidth="1"/>
    <x:col min="24" max="24" width="25" hidden="0" customWidth="1"/>
    <x:col min="25" max="25" width="21" hidden="0" customWidth="1"/>
    <x:col min="26" max="26" width="21" hidden="0" customWidth="1"/>
    <x:col min="27" max="27" width="25" hidden="0" customWidth="1"/>
    <x:col min="28" max="28" width="21" hidden="0" customWidth="1"/>
    <x:col min="29" max="29" width="21" hidden="0" customWidth="1"/>
    <x:col min="30" max="30" width="16" hidden="0" customWidth="1"/>
    <x:col min="31" max="31" width="18" hidden="0" customWidth="1"/>
    <x:col min="32" max="32" width="16" hidden="0" customWidth="1"/>
    <x:col min="33" max="33" width="19" hidden="0" customWidth="1"/>
    <x:col min="34" max="34" width="15" hidden="0" customWidth="1"/>
    <x:col min="35" max="35" width="25" hidden="0" customWidth="1"/>
    <x:col min="36" max="36" width="25" hidden="0" customWidth="1"/>
    <x:col min="37" max="37" width="25" hidden="0" customWidth="1"/>
    <x:col min="38" max="38" width="24" hidden="0" customWidth="1"/>
    <x:col min="39" max="39" width="17" hidden="0" customWidth="1"/>
    <x:col min="40" max="40" width="21" hidden="0" customWidth="1"/>
    <x:col min="41" max="41" width="13" hidden="0" customWidth="1"/>
    <x:col min="42" max="42" width="20" hidden="0" customWidth="1"/>
    <x:col min="43" max="43" width="21" hidden="0" customWidth="1"/>
    <x:col min="44" max="44" width="24" hidden="0" customWidth="1"/>
    <x:col min="45" max="45" width="25" hidden="0" customWidth="1"/>
    <x:col min="46" max="46" width="22" hidden="0" customWidth="1"/>
    <x:col min="47" max="47" width="25" hidden="0" customWidth="1"/>
    <x:col min="48" max="48" width="25" hidden="0" customWidth="1"/>
    <x:col min="49" max="49" width="23" hidden="0" customWidth="1"/>
    <x:col min="50" max="50" width="23" hidden="0" customWidth="1"/>
    <x:col min="51" max="51" width="26" hidden="0" customWidth="1"/>
    <x:col min="52" max="52" width="26" hidden="0" customWidth="1"/>
    <x:col min="53" max="53" width="26" hidden="0" customWidth="1"/>
    <x:col min="54" max="54" width="26" hidden="0" customWidth="1"/>
    <x:col min="55" max="55" width="28" hidden="0" customWidth="1"/>
    <x:col min="56" max="56" width="28" hidden="0" customWidth="1"/>
    <x:col min="57" max="57" width="14" hidden="0" customWidth="1"/>
    <x:col min="58" max="58" width="17" hidden="0" customWidth="1"/>
    <x:col min="59" max="59" width="18" hidden="0" customWidth="1"/>
    <x:col min="60" max="60" width="16" hidden="0" customWidth="1"/>
  </x:cols>
  <x:sheetData>
    <x:row r="2" ht="24" customHeight="1">
      <x:c r="A2" s="2" t="str">
        <x:v>Resumo dos ensaios oficiais do C4</x:v>
      </x:c>
    </x:row>
    <x:row r="3" ht="20" customHeight="1">
      <x:c r="A3" s="4" t="str">
        <x:v>As três execuções válidas compõem a síntese descritiva (n=3); instabilidade e latência elevada permanecem explícitas.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11" t="str">
        <x:v>Resultados das três execuções oficiais</x:v>
      </x:c>
      <x:c r="B5" s="12" t="str">
        <x:v>Resultados das três execuções oficiais</x:v>
      </x:c>
      <x:c r="C5" s="12" t="str">
        <x:v>Resultados das três execuções oficiais</x:v>
      </x:c>
      <x:c r="D5" s="12" t="str">
        <x:v>Resultados das três execuções oficiais</x:v>
      </x:c>
      <x:c r="E5" s="12" t="str">
        <x:v>Resultados das três execuções oficiais</x:v>
      </x:c>
      <x:c r="F5" s="12" t="str">
        <x:v>Resultados das três execuções oficiais</x:v>
      </x:c>
      <x:c r="G5" s="12" t="str">
        <x:v>Resultados das três execuções oficiais</x:v>
      </x:c>
      <x:c r="H5" s="13" t="str">
        <x:v>Resultados das três execuções oficiais</x:v>
      </x:c>
    </x:row>
    <x:row r="6" ht="48" customHeight="1">
      <x:c r="A6" s="42" t="str">
        <x:v>run_id</x:v>
      </x:c>
      <x:c r="B6" s="42" t="str">
        <x:v>validity</x:v>
      </x:c>
      <x:c r="C6" s="42" t="str">
        <x:v>stability</x:v>
      </x:c>
      <x:c r="D6" s="42" t="str">
        <x:v>included_in_aggregate</x:v>
      </x:c>
      <x:c r="E6" s="42" t="str">
        <x:v>methodological_note</x:v>
      </x:c>
      <x:c r="F6" s="42" t="str">
        <x:v>requests_started</x:v>
      </x:c>
      <x:c r="G6" s="42" t="str">
        <x:v>classified_http_requests</x:v>
      </x:c>
      <x:c r="H6" s="42" t="str">
        <x:v>responses_2xx</x:v>
      </x:c>
      <x:c r="I6" s="42" t="str">
        <x:v>responses_429</x:v>
      </x:c>
      <x:c r="J6" s="42" t="str">
        <x:v>responses_429_percent</x:v>
      </x:c>
      <x:c r="K6" s="42" t="str">
        <x:v>responses_5xx</x:v>
      </x:c>
      <x:c r="L6" s="42" t="str">
        <x:v>connection_errors</x:v>
      </x:c>
      <x:c r="M6" s="42" t="str">
        <x:v>unexpected_statuses</x:v>
      </x:c>
      <x:c r="N6" s="42" t="str">
        <x:v>unexpected_failures</x:v>
      </x:c>
      <x:c r="O6" s="42" t="str">
        <x:v>unexpected_failures_percent</x:v>
      </x:c>
      <x:c r="P6" s="42" t="str">
        <x:v>dropped_iterations</x:v>
      </x:c>
      <x:c r="Q6" s="42" t="str">
        <x:v>dropped_iterations_percent</x:v>
      </x:c>
      <x:c r="R6" s="42" t="str">
        <x:v>throughput_rps</x:v>
      </x:c>
      <x:c r="S6" s="42" t="str">
        <x:v>accepted_throughput_rps</x:v>
      </x:c>
      <x:c r="T6" s="42" t="str">
        <x:v>rejected_throughput_rps</x:v>
      </x:c>
      <x:c r="U6" s="42" t="str">
        <x:v>latency_average_ms</x:v>
      </x:c>
      <x:c r="V6" s="42" t="str">
        <x:v>latency_p95_ms</x:v>
      </x:c>
      <x:c r="W6" s="42" t="str">
        <x:v>latency_p99_ms</x:v>
      </x:c>
      <x:c r="X6" s="42" t="str">
        <x:v>response_2xx_average_ms</x:v>
      </x:c>
      <x:c r="Y6" s="42" t="str">
        <x:v>response_2xx_p95_ms</x:v>
      </x:c>
      <x:c r="Z6" s="42" t="str">
        <x:v>response_2xx_p99_ms</x:v>
      </x:c>
      <x:c r="AA6" s="42" t="str">
        <x:v>response_429_average_ms</x:v>
      </x:c>
      <x:c r="AB6" s="42" t="str">
        <x:v>response_429_p95_ms</x:v>
      </x:c>
      <x:c r="AC6" s="42" t="str">
        <x:v>response_429_p99_ms</x:v>
      </x:c>
      <x:c r="AD6" s="42" t="str">
        <x:v>orders_created</x:v>
      </x:c>
      <x:c r="AE6" s="42" t="str">
        <x:v>orders_completed</x:v>
      </x:c>
      <x:c r="AF6" s="42" t="str">
        <x:v>orders_pending</x:v>
      </x:c>
      <x:c r="AG6" s="42" t="str">
        <x:v>orders_processing</x:v>
      </x:c>
      <x:c r="AH6" s="42" t="str">
        <x:v>orders_failed</x:v>
      </x:c>
      <x:c r="AI6" s="42" t="str">
        <x:v>completion_rate_percent</x:v>
      </x:c>
      <x:c r="AJ6" s="42" t="str">
        <x:v>order_processing_p95_ms</x:v>
      </x:c>
      <x:c r="AK6" s="42" t="str">
        <x:v>order_processing_p99_ms</x:v>
      </x:c>
      <x:c r="AL6" s="42" t="str">
        <x:v>drain_duration_seconds</x:v>
      </x:c>
      <x:c r="AM6" s="42" t="str">
        <x:v>drain_completed</x:v>
      </x:c>
      <x:c r="AN6" s="42" t="str">
        <x:v>drain_objective_met</x:v>
      </x:c>
      <x:c r="AO6" s="42" t="str">
        <x:v>max_backlog</x:v>
      </x:c>
      <x:c r="AP6" s="42" t="str">
        <x:v>api_peak_cpu_cores</x:v>
      </x:c>
      <x:c r="AQ6" s="42" t="str">
        <x:v>api_peak_memory_mib</x:v>
      </x:c>
      <x:c r="AR6" s="42" t="str">
        <x:v>gateway_peak_cpu_cores</x:v>
      </x:c>
      <x:c r="AS6" s="42" t="str">
        <x:v>gateway_peak_memory_mib</x:v>
      </x:c>
      <x:c r="AT6" s="42" t="str">
        <x:v>initial_api_replicas</x:v>
      </x:c>
      <x:c r="AU6" s="42" t="str">
        <x:v>configured_min_replicas</x:v>
      </x:c>
      <x:c r="AV6" s="42" t="str">
        <x:v>configured_max_replicas</x:v>
      </x:c>
      <x:c r="AW6" s="42" t="str">
        <x:v>api_pods_observed_min</x:v>
      </x:c>
      <x:c r="AX6" s="42" t="str">
        <x:v>api_pods_observed_max</x:v>
      </x:c>
      <x:c r="AY6" s="42" t="str">
        <x:v>hpa_desired_replicas_min</x:v>
      </x:c>
      <x:c r="AZ6" s="42" t="str">
        <x:v>hpa_desired_replicas_max</x:v>
      </x:c>
      <x:c r="BA6" s="42" t="str">
        <x:v>hpa_current_replicas_min</x:v>
      </x:c>
      <x:c r="BB6" s="42" t="str">
        <x:v>hpa_current_replicas_max</x:v>
      </x:c>
      <x:c r="BC6" s="42" t="str">
        <x:v>first_scale_request_at</x:v>
      </x:c>
      <x:c r="BD6" s="42" t="str">
        <x:v>seconds_to_first_scale_request</x:v>
      </x:c>
      <x:c r="BE6" s="42" t="str">
        <x:v>api_restarts</x:v>
      </x:c>
      <x:c r="BF6" s="42" t="str">
        <x:v>worker_restarts</x:v>
      </x:c>
      <x:c r="BG6" s="42" t="str">
        <x:v>gateway_restarts</x:v>
      </x:c>
      <x:c r="BH6" s="42" t="str">
        <x:v>total_restarts</x:v>
      </x:c>
    </x:row>
    <x:row r="7" ht="42" customHeight="1">
      <x:c r="A7" s="51" t="str">
        <x:v>c4-run-1</x:v>
      </x:c>
      <x:c r="B7" s="60" t="str">
        <x:v>VALID</x:v>
      </x:c>
      <x:c r="C7" s="60" t="str">
        <x:v>UNSTABLE</x:v>
      </x:c>
      <x:c r="D7" s="52" t="b">
        <x:v>1</x:v>
      </x:c>
      <x:c r="E7" s="69" t="str">
        <x:v>VALID/UNSTABLE: uma reinicializacao do gateway foi observada; a execucao permanece incluida. Escala da API de 1 para 5 Pods.</x:v>
      </x:c>
      <x:c r="F7" s="53" t="n">
        <x:v>1609</x:v>
      </x:c>
      <x:c r="G7" s="53" t="n">
        <x:v>1609</x:v>
      </x:c>
      <x:c r="H7" s="53" t="n">
        <x:v>1519</x:v>
      </x:c>
      <x:c r="I7" s="53" t="n">
        <x:v>90</x:v>
      </x:c>
      <x:c r="J7" s="54" t="n">
        <x:v>5.594</x:v>
      </x:c>
      <x:c r="K7" s="53" t="n">
        <x:v>0</x:v>
      </x:c>
      <x:c r="L7" s="53" t="n">
        <x:v>0</x:v>
      </x:c>
      <x:c r="M7" s="53" t="n">
        <x:v>0</x:v>
      </x:c>
      <x:c r="N7" s="53" t="n">
        <x:v>0</x:v>
      </x:c>
      <x:c r="O7" s="54" t="n">
        <x:v>0</x:v>
      </x:c>
      <x:c r="P7" s="53" t="n">
        <x:v>0</x:v>
      </x:c>
      <x:c r="Q7" s="54" t="n">
        <x:v>0</x:v>
      </x:c>
      <x:c r="R7" s="55" t="n">
        <x:v>17.878542</x:v>
      </x:c>
      <x:c r="S7" s="55" t="n">
        <x:v>16.878499</x:v>
      </x:c>
      <x:c r="T7" s="55" t="n">
        <x:v>1.000043</x:v>
      </x:c>
      <x:c r="U7" s="56" t="n">
        <x:v>40.672</x:v>
      </x:c>
      <x:c r="V7" s="56" t="n">
        <x:v>82.621</x:v>
      </x:c>
      <x:c r="W7" s="56" t="n">
        <x:v>102.642</x:v>
      </x:c>
      <x:c r="X7" s="56" t="n">
        <x:v>43.028</x:v>
      </x:c>
      <x:c r="Y7" s="56" t="n">
        <x:v>83.899</x:v>
      </x:c>
      <x:c r="Z7" s="56" t="n">
        <x:v>104.837</x:v>
      </x:c>
      <x:c r="AA7" s="56" t="n">
        <x:v>0.905</x:v>
      </x:c>
      <x:c r="AB7" s="56" t="n">
        <x:v>1.244</x:v>
      </x:c>
      <x:c r="AC7" s="56" t="n">
        <x:v>2.026</x:v>
      </x:c>
      <x:c r="AD7" s="53" t="n">
        <x:v>1519</x:v>
      </x:c>
      <x:c r="AE7" s="53" t="n">
        <x:v>1519</x:v>
      </x:c>
      <x:c r="AF7" s="53" t="n">
        <x:v>0</x:v>
      </x:c>
      <x:c r="AG7" s="53" t="n">
        <x:v>0</x:v>
      </x:c>
      <x:c r="AH7" s="53" t="n">
        <x:v>0</x:v>
      </x:c>
      <x:c r="AI7" s="54" t="n">
        <x:v>100</x:v>
      </x:c>
      <x:c r="AJ7" s="56" t="n">
        <x:v>84.534</x:v>
      </x:c>
      <x:c r="AK7" s="56" t="n">
        <x:v>108.225</x:v>
      </x:c>
      <x:c r="AL7" s="53" t="n">
        <x:v>55</x:v>
      </x:c>
      <x:c r="AM7" s="52" t="b">
        <x:v>1</x:v>
      </x:c>
      <x:c r="AN7" s="52" t="b">
        <x:v>1</x:v>
      </x:c>
      <x:c r="AO7" s="53" t="n">
        <x:v>1</x:v>
      </x:c>
      <x:c r="AP7" s="57" t="n">
        <x:v>0.470021099</x:v>
      </x:c>
      <x:c r="AQ7" s="55" t="n">
        <x:v>77.390625</x:v>
      </x:c>
      <x:c r="AR7" s="57" t="n">
        <x:v>0.3576501</x:v>
      </x:c>
      <x:c r="AS7" s="55" t="n">
        <x:v>511.75</x:v>
      </x:c>
      <x:c r="AT7" s="53" t="n">
        <x:v>1</x:v>
      </x:c>
      <x:c r="AU7" s="53" t="n">
        <x:v>1</x:v>
      </x:c>
      <x:c r="AV7" s="53" t="n">
        <x:v>5</x:v>
      </x:c>
      <x:c r="AW7" s="53" t="n">
        <x:v>1</x:v>
      </x:c>
      <x:c r="AX7" s="53" t="n">
        <x:v>5</x:v>
      </x:c>
      <x:c r="AY7" s="53" t="n">
        <x:v>1</x:v>
      </x:c>
      <x:c r="AZ7" s="53" t="n">
        <x:v>5</x:v>
      </x:c>
      <x:c r="BA7" s="53" t="n">
        <x:v>1</x:v>
      </x:c>
      <x:c r="BB7" s="53" t="n">
        <x:v>5</x:v>
      </x:c>
      <x:c r="BC7" s="58" t="str">
        <x:v>2026-09-21T23:44:09.346Z (UTC)</x:v>
      </x:c>
      <x:c r="BD7" s="56" t="n">
        <x:v>39.346</x:v>
      </x:c>
      <x:c r="BE7" s="53" t="n">
        <x:v>0</x:v>
      </x:c>
      <x:c r="BF7" s="53" t="n">
        <x:v>0</x:v>
      </x:c>
      <x:c r="BG7" s="53" t="n">
        <x:v>1</x:v>
      </x:c>
      <x:c r="BH7" s="53" t="n">
        <x:v>1</x:v>
      </x:c>
    </x:row>
    <x:row r="8" ht="42" customHeight="1">
      <x:c r="A8" s="61" t="str">
        <x:v>c4-run-2</x:v>
      </x:c>
      <x:c r="B8" s="61" t="str">
        <x:v>VALID</x:v>
      </x:c>
      <x:c r="C8" s="61" t="str">
        <x:v>STABLE</x:v>
      </x:c>
      <x:c r="D8" s="62" t="b">
        <x:v>1</x:v>
      </x:c>
      <x:c r="E8" s="70" t="str">
        <x:v>VALID/STABLE: latencia elevada foi preservada sem exclusao. Escala da API de 1 para 5 Pods.</x:v>
      </x:c>
      <x:c r="F8" s="63" t="n">
        <x:v>1609</x:v>
      </x:c>
      <x:c r="G8" s="63" t="n">
        <x:v>1609</x:v>
      </x:c>
      <x:c r="H8" s="63" t="n">
        <x:v>1518</x:v>
      </x:c>
      <x:c r="I8" s="63" t="n">
        <x:v>91</x:v>
      </x:c>
      <x:c r="J8" s="64" t="n">
        <x:v>5.656</x:v>
      </x:c>
      <x:c r="K8" s="63" t="n">
        <x:v>0</x:v>
      </x:c>
      <x:c r="L8" s="63" t="n">
        <x:v>0</x:v>
      </x:c>
      <x:c r="M8" s="63" t="n">
        <x:v>0</x:v>
      </x:c>
      <x:c r="N8" s="63" t="n">
        <x:v>0</x:v>
      </x:c>
      <x:c r="O8" s="64" t="n">
        <x:v>0</x:v>
      </x:c>
      <x:c r="P8" s="63" t="n">
        <x:v>0</x:v>
      </x:c>
      <x:c r="Q8" s="64" t="n">
        <x:v>0</x:v>
      </x:c>
      <x:c r="R8" s="65" t="n">
        <x:v>17.878546</x:v>
      </x:c>
      <x:c r="S8" s="65" t="n">
        <x:v>16.867391</x:v>
      </x:c>
      <x:c r="T8" s="65" t="n">
        <x:v>1.011155</x:v>
      </x:c>
      <x:c r="U8" s="66" t="n">
        <x:v>1043.864</x:v>
      </x:c>
      <x:c r="V8" s="66" t="n">
        <x:v>3645.513</x:v>
      </x:c>
      <x:c r="W8" s="66" t="n">
        <x:v>5226.974</x:v>
      </x:c>
      <x:c r="X8" s="66" t="n">
        <x:v>1106.388</x:v>
      </x:c>
      <x:c r="Y8" s="66" t="n">
        <x:v>3669.48</x:v>
      </x:c>
      <x:c r="Z8" s="66" t="n">
        <x:v>5234.039</x:v>
      </x:c>
      <x:c r="AA8" s="66" t="n">
        <x:v>0.876</x:v>
      </x:c>
      <x:c r="AB8" s="66" t="n">
        <x:v>1.283</x:v>
      </x:c>
      <x:c r="AC8" s="66" t="n">
        <x:v>1.626</x:v>
      </x:c>
      <x:c r="AD8" s="63" t="n">
        <x:v>1518</x:v>
      </x:c>
      <x:c r="AE8" s="63" t="n">
        <x:v>1518</x:v>
      </x:c>
      <x:c r="AF8" s="63" t="n">
        <x:v>0</x:v>
      </x:c>
      <x:c r="AG8" s="63" t="n">
        <x:v>0</x:v>
      </x:c>
      <x:c r="AH8" s="63" t="n">
        <x:v>0</x:v>
      </x:c>
      <x:c r="AI8" s="64" t="n">
        <x:v>100</x:v>
      </x:c>
      <x:c r="AJ8" s="66" t="n">
        <x:v>637.344</x:v>
      </x:c>
      <x:c r="AK8" s="66" t="n">
        <x:v>804.675</x:v>
      </x:c>
      <x:c r="AL8" s="63" t="n">
        <x:v>4</x:v>
      </x:c>
      <x:c r="AM8" s="62" t="b">
        <x:v>1</x:v>
      </x:c>
      <x:c r="AN8" s="62" t="b">
        <x:v>1</x:v>
      </x:c>
      <x:c r="AO8" s="63" t="n">
        <x:v>1</x:v>
      </x:c>
      <x:c r="AP8" s="67" t="n">
        <x:v>0.499042198</x:v>
      </x:c>
      <x:c r="AQ8" s="65" t="n">
        <x:v>86.800781</x:v>
      </x:c>
      <x:c r="AR8" s="67" t="n">
        <x:v>0.041729018</x:v>
      </x:c>
      <x:c r="AS8" s="65" t="n">
        <x:v>493.816406</x:v>
      </x:c>
      <x:c r="AT8" s="63" t="n">
        <x:v>1</x:v>
      </x:c>
      <x:c r="AU8" s="63" t="n">
        <x:v>1</x:v>
      </x:c>
      <x:c r="AV8" s="63" t="n">
        <x:v>5</x:v>
      </x:c>
      <x:c r="AW8" s="63" t="n">
        <x:v>1</x:v>
      </x:c>
      <x:c r="AX8" s="63" t="n">
        <x:v>5</x:v>
      </x:c>
      <x:c r="AY8" s="63" t="n">
        <x:v>1</x:v>
      </x:c>
      <x:c r="AZ8" s="63" t="n">
        <x:v>5</x:v>
      </x:c>
      <x:c r="BA8" s="63" t="n">
        <x:v>1</x:v>
      </x:c>
      <x:c r="BB8" s="63" t="n">
        <x:v>5</x:v>
      </x:c>
      <x:c r="BC8" s="68" t="str">
        <x:v>2026-09-21T23:54:28.516Z (UTC)</x:v>
      </x:c>
      <x:c r="BD8" s="66" t="n">
        <x:v>44.516</x:v>
      </x:c>
      <x:c r="BE8" s="63" t="n">
        <x:v>0</x:v>
      </x:c>
      <x:c r="BF8" s="63" t="n">
        <x:v>0</x:v>
      </x:c>
      <x:c r="BG8" s="63" t="n">
        <x:v>0</x:v>
      </x:c>
      <x:c r="BH8" s="63" t="n">
        <x:v>0</x:v>
      </x:c>
    </x:row>
    <x:row r="9" ht="42" customHeight="1">
      <x:c r="A9" s="43" t="str">
        <x:v>c4-run-3</x:v>
      </x:c>
      <x:c r="B9" s="43" t="str">
        <x:v>VALID</x:v>
      </x:c>
      <x:c r="C9" s="43" t="str">
        <x:v>STABLE</x:v>
      </x:c>
      <x:c r="D9" s="44" t="b">
        <x:v>1</x:v>
      </x:c>
      <x:c r="E9" s="71" t="str">
        <x:v>VALID/STABLE. Escala da API de 1 para 5 Pods.</x:v>
      </x:c>
      <x:c r="F9" s="45" t="n">
        <x:v>1609</x:v>
      </x:c>
      <x:c r="G9" s="45" t="n">
        <x:v>1609</x:v>
      </x:c>
      <x:c r="H9" s="45" t="n">
        <x:v>1518</x:v>
      </x:c>
      <x:c r="I9" s="45" t="n">
        <x:v>91</x:v>
      </x:c>
      <x:c r="J9" s="46" t="n">
        <x:v>5.656</x:v>
      </x:c>
      <x:c r="K9" s="45" t="n">
        <x:v>0</x:v>
      </x:c>
      <x:c r="L9" s="45" t="n">
        <x:v>0</x:v>
      </x:c>
      <x:c r="M9" s="45" t="n">
        <x:v>0</x:v>
      </x:c>
      <x:c r="N9" s="45" t="n">
        <x:v>0</x:v>
      </x:c>
      <x:c r="O9" s="46" t="n">
        <x:v>0</x:v>
      </x:c>
      <x:c r="P9" s="45" t="n">
        <x:v>0</x:v>
      </x:c>
      <x:c r="Q9" s="46" t="n">
        <x:v>0</x:v>
      </x:c>
      <x:c r="R9" s="47" t="n">
        <x:v>17.878692</x:v>
      </x:c>
      <x:c r="S9" s="47" t="n">
        <x:v>16.867529</x:v>
      </x:c>
      <x:c r="T9" s="47" t="n">
        <x:v>1.011163</x:v>
      </x:c>
      <x:c r="U9" s="48" t="n">
        <x:v>38.964</x:v>
      </x:c>
      <x:c r="V9" s="48" t="n">
        <x:v>88.009</x:v>
      </x:c>
      <x:c r="W9" s="48" t="n">
        <x:v>219.522</x:v>
      </x:c>
      <x:c r="X9" s="48" t="n">
        <x:v>41.247</x:v>
      </x:c>
      <x:c r="Y9" s="48" t="n">
        <x:v>89.967</x:v>
      </x:c>
      <x:c r="Z9" s="48" t="n">
        <x:v>221.551</x:v>
      </x:c>
      <x:c r="AA9" s="48" t="n">
        <x:v>0.883</x:v>
      </x:c>
      <x:c r="AB9" s="48" t="n">
        <x:v>1.343</x:v>
      </x:c>
      <x:c r="AC9" s="48" t="n">
        <x:v>1.739</x:v>
      </x:c>
      <x:c r="AD9" s="45" t="n">
        <x:v>1518</x:v>
      </x:c>
      <x:c r="AE9" s="45" t="n">
        <x:v>1518</x:v>
      </x:c>
      <x:c r="AF9" s="45" t="n">
        <x:v>0</x:v>
      </x:c>
      <x:c r="AG9" s="45" t="n">
        <x:v>0</x:v>
      </x:c>
      <x:c r="AH9" s="45" t="n">
        <x:v>0</x:v>
      </x:c>
      <x:c r="AI9" s="46" t="n">
        <x:v>100</x:v>
      </x:c>
      <x:c r="AJ9" s="48" t="n">
        <x:v>97.068</x:v>
      </x:c>
      <x:c r="AK9" s="48" t="n">
        <x:v>151.339</x:v>
      </x:c>
      <x:c r="AL9" s="45" t="n">
        <x:v>4</x:v>
      </x:c>
      <x:c r="AM9" s="44" t="b">
        <x:v>1</x:v>
      </x:c>
      <x:c r="AN9" s="44" t="b">
        <x:v>1</x:v>
      </x:c>
      <x:c r="AO9" s="45" t="n">
        <x:v>1</x:v>
      </x:c>
      <x:c r="AP9" s="49" t="n">
        <x:v>0.407945532</x:v>
      </x:c>
      <x:c r="AQ9" s="47" t="n">
        <x:v>84.585938</x:v>
      </x:c>
      <x:c r="AR9" s="49" t="n">
        <x:v>0.047749324</x:v>
      </x:c>
      <x:c r="AS9" s="47" t="n">
        <x:v>505.566406</x:v>
      </x:c>
      <x:c r="AT9" s="45" t="n">
        <x:v>1</x:v>
      </x:c>
      <x:c r="AU9" s="45" t="n">
        <x:v>1</x:v>
      </x:c>
      <x:c r="AV9" s="45" t="n">
        <x:v>5</x:v>
      </x:c>
      <x:c r="AW9" s="45" t="n">
        <x:v>1</x:v>
      </x:c>
      <x:c r="AX9" s="45" t="n">
        <x:v>5</x:v>
      </x:c>
      <x:c r="AY9" s="45" t="n">
        <x:v>1</x:v>
      </x:c>
      <x:c r="AZ9" s="45" t="n">
        <x:v>5</x:v>
      </x:c>
      <x:c r="BA9" s="45" t="n">
        <x:v>1</x:v>
      </x:c>
      <x:c r="BB9" s="45" t="n">
        <x:v>5</x:v>
      </x:c>
      <x:c r="BC9" s="50" t="str">
        <x:v>2026-09-22T00:06:42.369Z (UTC)</x:v>
      </x:c>
      <x:c r="BD9" s="48" t="n">
        <x:v>39.369</x:v>
      </x:c>
      <x:c r="BE9" s="45" t="n">
        <x:v>0</x:v>
      </x:c>
      <x:c r="BF9" s="45" t="n">
        <x:v>0</x:v>
      </x:c>
      <x:c r="BG9" s="45" t="n">
        <x:v>0</x:v>
      </x:c>
      <x:c r="BH9" s="45" t="n">
        <x:v>0</x:v>
      </x:c>
    </x:row>
  </x:sheetData>
  <x:mergeCells>
    <x:mergeCell ref="A5:H5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26" hidden="0" customWidth="1"/>
    <x:col min="9" max="9" width="15" hidden="0" customWidth="1"/>
    <x:col min="10" max="10" width="15" hidden="0" customWidth="1"/>
    <x:col min="11" max="11" width="23" hidden="0" customWidth="1"/>
    <x:col min="12" max="12" width="15" hidden="0" customWidth="1"/>
    <x:col min="13" max="13" width="19" hidden="0" customWidth="1"/>
    <x:col min="14" max="14" width="21" hidden="0" customWidth="1"/>
    <x:col min="15" max="15" width="21" hidden="0" customWidth="1"/>
    <x:col min="16" max="16" width="20" hidden="0" customWidth="1"/>
    <x:col min="17" max="17" width="16" hidden="0" customWidth="1"/>
    <x:col min="18" max="18" width="25" hidden="0" customWidth="1"/>
    <x:col min="19" max="19" width="25" hidden="0" customWidth="1"/>
    <x:col min="20" max="20" width="20" hidden="0" customWidth="1"/>
    <x:col min="21" max="21" width="16" hidden="0" customWidth="1"/>
    <x:col min="22" max="22" width="16" hidden="0" customWidth="1"/>
    <x:col min="23" max="23" width="25" hidden="0" customWidth="1"/>
    <x:col min="24" max="24" width="21" hidden="0" customWidth="1"/>
    <x:col min="25" max="25" width="21" hidden="0" customWidth="1"/>
    <x:col min="26" max="26" width="25" hidden="0" customWidth="1"/>
    <x:col min="27" max="27" width="21" hidden="0" customWidth="1"/>
    <x:col min="28" max="28" width="21" hidden="0" customWidth="1"/>
  </x:cols>
  <x:sheetData>
    <x:row r="2" ht="24" customHeight="1">
      <x:c r="A2" s="2" t="str">
        <x:v>Resultados do C4 por estágio de carga</x:v>
      </x:c>
    </x:row>
    <x:row r="3" ht="20" customHeight="1">
      <x:c r="A3" s="4" t="str">
        <x:v>Doze linhas preservam os quatro estágios de cada execução, inclusive latências de 2xx e 429.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11" t="str">
        <x:v>Métricas por execução e estágio</x:v>
      </x:c>
      <x:c r="B5" s="12" t="str">
        <x:v>Métricas por execução e estágio</x:v>
      </x:c>
      <x:c r="C5" s="12" t="str">
        <x:v>Métricas por execução e estágio</x:v>
      </x:c>
      <x:c r="D5" s="12" t="str">
        <x:v>Métricas por execução e estágio</x:v>
      </x:c>
      <x:c r="E5" s="12" t="str">
        <x:v>Métricas por execução e estágio</x:v>
      </x:c>
      <x:c r="F5" s="12" t="str">
        <x:v>Métricas por execução e estágio</x:v>
      </x:c>
      <x:c r="G5" s="12" t="str">
        <x:v>Métricas por execução e estágio</x:v>
      </x:c>
      <x:c r="H5" s="13" t="str">
        <x:v>Métricas por execução e estágio</x:v>
      </x:c>
    </x:row>
    <x:row r="6" ht="48" customHeight="1">
      <x:c r="A6" s="42" t="str">
        <x:v>run_id</x:v>
      </x:c>
      <x:c r="B6" s="42" t="str">
        <x:v>validity</x:v>
      </x:c>
      <x:c r="C6" s="42" t="str">
        <x:v>stability</x:v>
      </x:c>
      <x:c r="D6" s="42" t="str">
        <x:v>stage</x:v>
      </x:c>
      <x:c r="E6" s="42" t="str">
        <x:v>target_rps</x:v>
      </x:c>
      <x:c r="F6" s="42" t="str">
        <x:v>duration_seconds</x:v>
      </x:c>
      <x:c r="G6" s="42" t="str">
        <x:v>requests_started</x:v>
      </x:c>
      <x:c r="H6" s="42" t="str">
        <x:v>classified_http_requests</x:v>
      </x:c>
      <x:c r="I6" s="42" t="str">
        <x:v>responses_2xx</x:v>
      </x:c>
      <x:c r="J6" s="42" t="str">
        <x:v>responses_429</x:v>
      </x:c>
      <x:c r="K6" s="42" t="str">
        <x:v>responses_429_percent</x:v>
      </x:c>
      <x:c r="L6" s="42" t="str">
        <x:v>responses_5xx</x:v>
      </x:c>
      <x:c r="M6" s="42" t="str">
        <x:v>connection_errors</x:v>
      </x:c>
      <x:c r="N6" s="42" t="str">
        <x:v>unexpected_statuses</x:v>
      </x:c>
      <x:c r="O6" s="42" t="str">
        <x:v>unexpected_failures</x:v>
      </x:c>
      <x:c r="P6" s="42" t="str">
        <x:v>dropped_iterations</x:v>
      </x:c>
      <x:c r="Q6" s="42" t="str">
        <x:v>throughput_rps</x:v>
      </x:c>
      <x:c r="R6" s="42" t="str">
        <x:v>accepted_throughput_rps</x:v>
      </x:c>
      <x:c r="S6" s="42" t="str">
        <x:v>rejected_throughput_rps</x:v>
      </x:c>
      <x:c r="T6" s="42" t="str">
        <x:v>latency_average_ms</x:v>
      </x:c>
      <x:c r="U6" s="42" t="str">
        <x:v>latency_p95_ms</x:v>
      </x:c>
      <x:c r="V6" s="42" t="str">
        <x:v>latency_p99_ms</x:v>
      </x:c>
      <x:c r="W6" s="42" t="str">
        <x:v>response_2xx_average_ms</x:v>
      </x:c>
      <x:c r="X6" s="42" t="str">
        <x:v>response_2xx_p95_ms</x:v>
      </x:c>
      <x:c r="Y6" s="42" t="str">
        <x:v>response_2xx_p99_ms</x:v>
      </x:c>
      <x:c r="Z6" s="42" t="str">
        <x:v>response_429_average_ms</x:v>
      </x:c>
      <x:c r="AA6" s="42" t="str">
        <x:v>response_429_p95_ms</x:v>
      </x:c>
      <x:c r="AB6" s="42" t="str">
        <x:v>response_429_p99_ms</x:v>
      </x:c>
    </x:row>
    <x:row r="7" ht="20" customHeight="1">
      <x:c r="A7" s="43" t="str">
        <x:v>c4-run-1</x:v>
      </x:c>
      <x:c r="B7" s="43" t="str">
        <x:v>VALID</x:v>
      </x:c>
      <x:c r="C7" s="43" t="str">
        <x:v>UNSTABLE</x:v>
      </x:c>
      <x:c r="D7" s="43" t="str">
        <x:v>stage_1</x:v>
      </x:c>
      <x:c r="E7" s="47" t="n">
        <x:v>20</x:v>
      </x:c>
      <x:c r="F7" s="47" t="n">
        <x:v>20</x:v>
      </x:c>
      <x:c r="G7" s="45" t="n">
        <x:v>209</x:v>
      </x:c>
      <x:c r="H7" s="45" t="n">
        <x:v>209</x:v>
      </x:c>
      <x:c r="I7" s="45" t="n">
        <x:v>209</x:v>
      </x:c>
      <x:c r="J7" s="45" t="n">
        <x:v>0</x:v>
      </x:c>
      <x:c r="K7" s="46" t="n">
        <x:v>0</x:v>
      </x:c>
      <x:c r="L7" s="45" t="n">
        <x:v>0</x:v>
      </x:c>
      <x:c r="M7" s="45" t="n">
        <x:v>0</x:v>
      </x:c>
      <x:c r="N7" s="45" t="n">
        <x:v>0</x:v>
      </x:c>
      <x:c r="O7" s="45" t="n">
        <x:v>0</x:v>
      </x:c>
      <x:c r="P7" s="45" t="n">
        <x:v>0</x:v>
      </x:c>
      <x:c r="Q7" s="47" t="n">
        <x:v>10.45</x:v>
      </x:c>
      <x:c r="R7" s="47" t="n">
        <x:v>10.45</x:v>
      </x:c>
      <x:c r="S7" s="47" t="n">
        <x:v>0</x:v>
      </x:c>
      <x:c r="T7" s="48" t="n">
        <x:v>80.471</x:v>
      </x:c>
      <x:c r="U7" s="48" t="n">
        <x:v>92.882</x:v>
      </x:c>
      <x:c r="V7" s="48" t="n">
        <x:v>1703.991</x:v>
      </x:c>
      <x:c r="W7" s="48" t="n">
        <x:v>80.471</x:v>
      </x:c>
      <x:c r="X7" s="48" t="n">
        <x:v>92.882</x:v>
      </x:c>
      <x:c r="Y7" s="48" t="n">
        <x:v>1703.991</x:v>
      </x:c>
      <x:c r="Z7" s="43"/>
      <x:c r="AA7" s="43"/>
      <x:c r="AB7" s="43"/>
    </x:row>
    <x:row r="8" ht="20" customHeight="1">
      <x:c r="A8" s="43" t="str">
        <x:v>c4-run-1</x:v>
      </x:c>
      <x:c r="B8" s="43" t="str">
        <x:v>VALID</x:v>
      </x:c>
      <x:c r="C8" s="43" t="str">
        <x:v>UNSTABLE</x:v>
      </x:c>
      <x:c r="D8" s="43" t="str">
        <x:v>stage_2</x:v>
      </x:c>
      <x:c r="E8" s="47" t="n">
        <x:v>22</x:v>
      </x:c>
      <x:c r="F8" s="47" t="n">
        <x:v>30</x:v>
      </x:c>
      <x:c r="G8" s="45" t="n">
        <x:v>630</x:v>
      </x:c>
      <x:c r="H8" s="45" t="n">
        <x:v>630</x:v>
      </x:c>
      <x:c r="I8" s="45" t="n">
        <x:v>601</x:v>
      </x:c>
      <x:c r="J8" s="45" t="n">
        <x:v>29</x:v>
      </x:c>
      <x:c r="K8" s="46" t="n">
        <x:v>4.603</x:v>
      </x:c>
      <x:c r="L8" s="45" t="n">
        <x:v>0</x:v>
      </x:c>
      <x:c r="M8" s="45" t="n">
        <x:v>0</x:v>
      </x:c>
      <x:c r="N8" s="45" t="n">
        <x:v>0</x:v>
      </x:c>
      <x:c r="O8" s="45" t="n">
        <x:v>0</x:v>
      </x:c>
      <x:c r="P8" s="45" t="n">
        <x:v>0</x:v>
      </x:c>
      <x:c r="Q8" s="47" t="n">
        <x:v>21</x:v>
      </x:c>
      <x:c r="R8" s="47" t="n">
        <x:v>20.033333</x:v>
      </x:c>
      <x:c r="S8" s="47" t="n">
        <x:v>0.966667</x:v>
      </x:c>
      <x:c r="T8" s="48" t="n">
        <x:v>36.212</x:v>
      </x:c>
      <x:c r="U8" s="48" t="n">
        <x:v>84.785</x:v>
      </x:c>
      <x:c r="V8" s="48" t="n">
        <x:v>102.59</x:v>
      </x:c>
      <x:c r="W8" s="48" t="n">
        <x:v>37.913</x:v>
      </x:c>
      <x:c r="X8" s="48" t="n">
        <x:v>86.129</x:v>
      </x:c>
      <x:c r="Y8" s="48" t="n">
        <x:v>102.661</x:v>
      </x:c>
      <x:c r="Z8" s="48" t="n">
        <x:v>0.962</x:v>
      </x:c>
      <x:c r="AA8" s="48" t="n">
        <x:v>1.719</x:v>
      </x:c>
      <x:c r="AB8" s="48" t="n">
        <x:v>2.1</x:v>
      </x:c>
    </x:row>
    <x:row r="9" ht="20" customHeight="1">
      <x:c r="A9" s="43" t="str">
        <x:v>c4-run-1</x:v>
      </x:c>
      <x:c r="B9" s="43" t="str">
        <x:v>VALID</x:v>
      </x:c>
      <x:c r="C9" s="43" t="str">
        <x:v>UNSTABLE</x:v>
      </x:c>
      <x:c r="D9" s="43" t="str">
        <x:v>stage_3</x:v>
      </x:c>
      <x:c r="E9" s="47" t="n">
        <x:v>22</x:v>
      </x:c>
      <x:c r="F9" s="47" t="n">
        <x:v>30</x:v>
      </x:c>
      <x:c r="G9" s="45" t="n">
        <x:v>660</x:v>
      </x:c>
      <x:c r="H9" s="45" t="n">
        <x:v>660</x:v>
      </x:c>
      <x:c r="I9" s="45" t="n">
        <x:v>600</x:v>
      </x:c>
      <x:c r="J9" s="45" t="n">
        <x:v>60</x:v>
      </x:c>
      <x:c r="K9" s="46" t="n">
        <x:v>9.091</x:v>
      </x:c>
      <x:c r="L9" s="45" t="n">
        <x:v>0</x:v>
      </x:c>
      <x:c r="M9" s="45" t="n">
        <x:v>0</x:v>
      </x:c>
      <x:c r="N9" s="45" t="n">
        <x:v>0</x:v>
      </x:c>
      <x:c r="O9" s="45" t="n">
        <x:v>0</x:v>
      </x:c>
      <x:c r="P9" s="45" t="n">
        <x:v>0</x:v>
      </x:c>
      <x:c r="Q9" s="47" t="n">
        <x:v>22</x:v>
      </x:c>
      <x:c r="R9" s="47" t="n">
        <x:v>20</x:v>
      </x:c>
      <x:c r="S9" s="47" t="n">
        <x:v>2</x:v>
      </x:c>
      <x:c r="T9" s="48" t="n">
        <x:v>33.66</x:v>
      </x:c>
      <x:c r="U9" s="48" t="n">
        <x:v>77.42</x:v>
      </x:c>
      <x:c r="V9" s="48" t="n">
        <x:v>93.761</x:v>
      </x:c>
      <x:c r="W9" s="48" t="n">
        <x:v>36.938</x:v>
      </x:c>
      <x:c r="X9" s="48" t="n">
        <x:v>79.205</x:v>
      </x:c>
      <x:c r="Y9" s="48" t="n">
        <x:v>94.133</x:v>
      </x:c>
      <x:c r="Z9" s="48" t="n">
        <x:v>0.882</x:v>
      </x:c>
      <x:c r="AA9" s="48" t="n">
        <x:v>1.081</x:v>
      </x:c>
      <x:c r="AB9" s="48" t="n">
        <x:v>1.453</x:v>
      </x:c>
    </x:row>
    <x:row r="10" ht="20" customHeight="1">
      <x:c r="A10" s="43" t="str">
        <x:v>c4-run-1</x:v>
      </x:c>
      <x:c r="B10" s="43" t="str">
        <x:v>VALID</x:v>
      </x:c>
      <x:c r="C10" s="43" t="str">
        <x:v>UNSTABLE</x:v>
      </x:c>
      <x:c r="D10" s="43" t="str">
        <x:v>stage_4</x:v>
      </x:c>
      <x:c r="E10" s="47" t="n">
        <x:v>0</x:v>
      </x:c>
      <x:c r="F10" s="47" t="n">
        <x:v>10</x:v>
      </x:c>
      <x:c r="G10" s="45" t="n">
        <x:v>110</x:v>
      </x:c>
      <x:c r="H10" s="45" t="n">
        <x:v>110</x:v>
      </x:c>
      <x:c r="I10" s="45" t="n">
        <x:v>109</x:v>
      </x:c>
      <x:c r="J10" s="45" t="n">
        <x:v>1</x:v>
      </x:c>
      <x:c r="K10" s="46" t="n">
        <x:v>0.909</x:v>
      </x:c>
      <x:c r="L10" s="45" t="n">
        <x:v>0</x:v>
      </x:c>
      <x:c r="M10" s="45" t="n">
        <x:v>0</x:v>
      </x:c>
      <x:c r="N10" s="45" t="n">
        <x:v>0</x:v>
      </x:c>
      <x:c r="O10" s="45" t="n">
        <x:v>0</x:v>
      </x:c>
      <x:c r="P10" s="45" t="n">
        <x:v>0</x:v>
      </x:c>
      <x:c r="Q10" s="47" t="n">
        <x:v>11</x:v>
      </x:c>
      <x:c r="R10" s="47" t="n">
        <x:v>10.9</x:v>
      </x:c>
      <x:c r="S10" s="47" t="n">
        <x:v>0.1</x:v>
      </x:c>
      <x:c r="T10" s="48" t="n">
        <x:v>32.665</x:v>
      </x:c>
      <x:c r="U10" s="48" t="n">
        <x:v>63.133</x:v>
      </x:c>
      <x:c r="V10" s="48" t="n">
        <x:v>87.137</x:v>
      </x:c>
      <x:c r="W10" s="48" t="n">
        <x:v>32.959</x:v>
      </x:c>
      <x:c r="X10" s="48" t="n">
        <x:v>63.143</x:v>
      </x:c>
      <x:c r="Y10" s="48" t="n">
        <x:v>87.174</x:v>
      </x:c>
      <x:c r="Z10" s="48" t="n">
        <x:v>0.66</x:v>
      </x:c>
      <x:c r="AA10" s="48" t="n">
        <x:v>0.66</x:v>
      </x:c>
      <x:c r="AB10" s="48" t="n">
        <x:v>0.66</x:v>
      </x:c>
    </x:row>
    <x:row r="11" ht="20" customHeight="1">
      <x:c r="A11" s="43" t="str">
        <x:v>c4-run-2</x:v>
      </x:c>
      <x:c r="B11" s="43" t="str">
        <x:v>VALID</x:v>
      </x:c>
      <x:c r="C11" s="43" t="str">
        <x:v>STABLE</x:v>
      </x:c>
      <x:c r="D11" s="43" t="str">
        <x:v>stage_1</x:v>
      </x:c>
      <x:c r="E11" s="47" t="n">
        <x:v>20</x:v>
      </x:c>
      <x:c r="F11" s="47" t="n">
        <x:v>20</x:v>
      </x:c>
      <x:c r="G11" s="45" t="n">
        <x:v>209</x:v>
      </x:c>
      <x:c r="H11" s="45" t="n">
        <x:v>209</x:v>
      </x:c>
      <x:c r="I11" s="45" t="n">
        <x:v>209</x:v>
      </x:c>
      <x:c r="J11" s="45" t="n">
        <x:v>0</x:v>
      </x:c>
      <x:c r="K11" s="46" t="n">
        <x:v>0</x:v>
      </x:c>
      <x:c r="L11" s="45" t="n">
        <x:v>0</x:v>
      </x:c>
      <x:c r="M11" s="45" t="n">
        <x:v>0</x:v>
      </x:c>
      <x:c r="N11" s="45" t="n">
        <x:v>0</x:v>
      </x:c>
      <x:c r="O11" s="45" t="n">
        <x:v>0</x:v>
      </x:c>
      <x:c r="P11" s="45" t="n">
        <x:v>0</x:v>
      </x:c>
      <x:c r="Q11" s="47" t="n">
        <x:v>10.45</x:v>
      </x:c>
      <x:c r="R11" s="47" t="n">
        <x:v>10.45</x:v>
      </x:c>
      <x:c r="S11" s="47" t="n">
        <x:v>0</x:v>
      </x:c>
      <x:c r="T11" s="48" t="n">
        <x:v>381.569</x:v>
      </x:c>
      <x:c r="U11" s="48" t="n">
        <x:v>1501.816</x:v>
      </x:c>
      <x:c r="V11" s="48" t="n">
        <x:v>1940.363</x:v>
      </x:c>
      <x:c r="W11" s="48" t="n">
        <x:v>381.569</x:v>
      </x:c>
      <x:c r="X11" s="48" t="n">
        <x:v>1501.816</x:v>
      </x:c>
      <x:c r="Y11" s="48" t="n">
        <x:v>1940.363</x:v>
      </x:c>
      <x:c r="Z11" s="43"/>
      <x:c r="AA11" s="43"/>
      <x:c r="AB11" s="43"/>
    </x:row>
    <x:row r="12" ht="20" customHeight="1">
      <x:c r="A12" s="43" t="str">
        <x:v>c4-run-2</x:v>
      </x:c>
      <x:c r="B12" s="43" t="str">
        <x:v>VALID</x:v>
      </x:c>
      <x:c r="C12" s="43" t="str">
        <x:v>STABLE</x:v>
      </x:c>
      <x:c r="D12" s="43" t="str">
        <x:v>stage_2</x:v>
      </x:c>
      <x:c r="E12" s="47" t="n">
        <x:v>22</x:v>
      </x:c>
      <x:c r="F12" s="47" t="n">
        <x:v>30</x:v>
      </x:c>
      <x:c r="G12" s="45" t="n">
        <x:v>630</x:v>
      </x:c>
      <x:c r="H12" s="45" t="n">
        <x:v>630</x:v>
      </x:c>
      <x:c r="I12" s="45" t="n">
        <x:v>601</x:v>
      </x:c>
      <x:c r="J12" s="45" t="n">
        <x:v>29</x:v>
      </x:c>
      <x:c r="K12" s="46" t="n">
        <x:v>4.603</x:v>
      </x:c>
      <x:c r="L12" s="45" t="n">
        <x:v>0</x:v>
      </x:c>
      <x:c r="M12" s="45" t="n">
        <x:v>0</x:v>
      </x:c>
      <x:c r="N12" s="45" t="n">
        <x:v>0</x:v>
      </x:c>
      <x:c r="O12" s="45" t="n">
        <x:v>0</x:v>
      </x:c>
      <x:c r="P12" s="45" t="n">
        <x:v>0</x:v>
      </x:c>
      <x:c r="Q12" s="47" t="n">
        <x:v>21</x:v>
      </x:c>
      <x:c r="R12" s="47" t="n">
        <x:v>20.033333</x:v>
      </x:c>
      <x:c r="S12" s="47" t="n">
        <x:v>0.966667</x:v>
      </x:c>
      <x:c r="T12" s="48" t="n">
        <x:v>2046.961</x:v>
      </x:c>
      <x:c r="U12" s="48" t="n">
        <x:v>4541.103</x:v>
      </x:c>
      <x:c r="V12" s="48" t="n">
        <x:v>6366.338</x:v>
      </x:c>
      <x:c r="W12" s="48" t="n">
        <x:v>2145.686</x:v>
      </x:c>
      <x:c r="X12" s="48" t="n">
        <x:v>4582.58</x:v>
      </x:c>
      <x:c r="Y12" s="48" t="n">
        <x:v>6387.955</x:v>
      </x:c>
      <x:c r="Z12" s="48" t="n">
        <x:v>0.957</x:v>
      </x:c>
      <x:c r="AA12" s="48" t="n">
        <x:v>1.6</x:v>
      </x:c>
      <x:c r="AB12" s="48" t="n">
        <x:v>1.709</x:v>
      </x:c>
    </x:row>
    <x:row r="13" ht="20" customHeight="1">
      <x:c r="A13" s="43" t="str">
        <x:v>c4-run-2</x:v>
      </x:c>
      <x:c r="B13" s="43" t="str">
        <x:v>VALID</x:v>
      </x:c>
      <x:c r="C13" s="43" t="str">
        <x:v>STABLE</x:v>
      </x:c>
      <x:c r="D13" s="43" t="str">
        <x:v>stage_3</x:v>
      </x:c>
      <x:c r="E13" s="47" t="n">
        <x:v>22</x:v>
      </x:c>
      <x:c r="F13" s="47" t="n">
        <x:v>30</x:v>
      </x:c>
      <x:c r="G13" s="45" t="n">
        <x:v>661</x:v>
      </x:c>
      <x:c r="H13" s="45" t="n">
        <x:v>661</x:v>
      </x:c>
      <x:c r="I13" s="45" t="n">
        <x:v>601</x:v>
      </x:c>
      <x:c r="J13" s="45" t="n">
        <x:v>60</x:v>
      </x:c>
      <x:c r="K13" s="46" t="n">
        <x:v>9.077</x:v>
      </x:c>
      <x:c r="L13" s="45" t="n">
        <x:v>0</x:v>
      </x:c>
      <x:c r="M13" s="45" t="n">
        <x:v>0</x:v>
      </x:c>
      <x:c r="N13" s="45" t="n">
        <x:v>0</x:v>
      </x:c>
      <x:c r="O13" s="45" t="n">
        <x:v>0</x:v>
      </x:c>
      <x:c r="P13" s="45" t="n">
        <x:v>0</x:v>
      </x:c>
      <x:c r="Q13" s="47" t="n">
        <x:v>22.033333</x:v>
      </x:c>
      <x:c r="R13" s="47" t="n">
        <x:v>20.033333</x:v>
      </x:c>
      <x:c r="S13" s="47" t="n">
        <x:v>2</x:v>
      </x:c>
      <x:c r="T13" s="48" t="n">
        <x:v>463.414</x:v>
      </x:c>
      <x:c r="U13" s="48" t="n">
        <x:v>2248.902</x:v>
      </x:c>
      <x:c r="V13" s="48" t="n">
        <x:v>3952.88</x:v>
      </x:c>
      <x:c r="W13" s="48" t="n">
        <x:v>509.596</x:v>
      </x:c>
      <x:c r="X13" s="48" t="n">
        <x:v>2322.109</x:v>
      </x:c>
      <x:c r="Y13" s="48" t="n">
        <x:v>3983.811</x:v>
      </x:c>
      <x:c r="Z13" s="48" t="n">
        <x:v>0.827</x:v>
      </x:c>
      <x:c r="AA13" s="48" t="n">
        <x:v>1.026</x:v>
      </x:c>
      <x:c r="AB13" s="48" t="n">
        <x:v>1.13</x:v>
      </x:c>
    </x:row>
    <x:row r="14" ht="20" customHeight="1">
      <x:c r="A14" s="43" t="str">
        <x:v>c4-run-2</x:v>
      </x:c>
      <x:c r="B14" s="43" t="str">
        <x:v>VALID</x:v>
      </x:c>
      <x:c r="C14" s="43" t="str">
        <x:v>STABLE</x:v>
      </x:c>
      <x:c r="D14" s="43" t="str">
        <x:v>stage_4</x:v>
      </x:c>
      <x:c r="E14" s="47" t="n">
        <x:v>0</x:v>
      </x:c>
      <x:c r="F14" s="47" t="n">
        <x:v>10</x:v>
      </x:c>
      <x:c r="G14" s="45" t="n">
        <x:v>109</x:v>
      </x:c>
      <x:c r="H14" s="45" t="n">
        <x:v>109</x:v>
      </x:c>
      <x:c r="I14" s="45" t="n">
        <x:v>107</x:v>
      </x:c>
      <x:c r="J14" s="45" t="n">
        <x:v>2</x:v>
      </x:c>
      <x:c r="K14" s="46" t="n">
        <x:v>1.835</x:v>
      </x:c>
      <x:c r="L14" s="45" t="n">
        <x:v>0</x:v>
      </x:c>
      <x:c r="M14" s="45" t="n">
        <x:v>0</x:v>
      </x:c>
      <x:c r="N14" s="45" t="n">
        <x:v>0</x:v>
      </x:c>
      <x:c r="O14" s="45" t="n">
        <x:v>0</x:v>
      </x:c>
      <x:c r="P14" s="45" t="n">
        <x:v>0</x:v>
      </x:c>
      <x:c r="Q14" s="47" t="n">
        <x:v>10.9</x:v>
      </x:c>
      <x:c r="R14" s="47" t="n">
        <x:v>10.7</x:v>
      </x:c>
      <x:c r="S14" s="47" t="n">
        <x:v>0.2</x:v>
      </x:c>
      <x:c r="T14" s="48" t="n">
        <x:v>36.023</x:v>
      </x:c>
      <x:c r="U14" s="48" t="n">
        <x:v>75.83</x:v>
      </x:c>
      <x:c r="V14" s="48" t="n">
        <x:v>93.367</x:v>
      </x:c>
      <x:c r="W14" s="48" t="n">
        <x:v>36.674</x:v>
      </x:c>
      <x:c r="X14" s="48" t="n">
        <x:v>76.499</x:v>
      </x:c>
      <x:c r="Y14" s="48" t="n">
        <x:v>93.436</x:v>
      </x:c>
      <x:c r="Z14" s="48" t="n">
        <x:v>1.169</x:v>
      </x:c>
      <x:c r="AA14" s="48" t="n">
        <x:v>1.172</x:v>
      </x:c>
      <x:c r="AB14" s="48" t="n">
        <x:v>1.172</x:v>
      </x:c>
    </x:row>
    <x:row r="15" ht="20" customHeight="1">
      <x:c r="A15" s="43" t="str">
        <x:v>c4-run-3</x:v>
      </x:c>
      <x:c r="B15" s="43" t="str">
        <x:v>VALID</x:v>
      </x:c>
      <x:c r="C15" s="43" t="str">
        <x:v>STABLE</x:v>
      </x:c>
      <x:c r="D15" s="43" t="str">
        <x:v>stage_1</x:v>
      </x:c>
      <x:c r="E15" s="47" t="n">
        <x:v>20</x:v>
      </x:c>
      <x:c r="F15" s="47" t="n">
        <x:v>20</x:v>
      </x:c>
      <x:c r="G15" s="45" t="n">
        <x:v>209</x:v>
      </x:c>
      <x:c r="H15" s="45" t="n">
        <x:v>209</x:v>
      </x:c>
      <x:c r="I15" s="45" t="n">
        <x:v>209</x:v>
      </x:c>
      <x:c r="J15" s="45" t="n">
        <x:v>0</x:v>
      </x:c>
      <x:c r="K15" s="46" t="n">
        <x:v>0</x:v>
      </x:c>
      <x:c r="L15" s="45" t="n">
        <x:v>0</x:v>
      </x:c>
      <x:c r="M15" s="45" t="n">
        <x:v>0</x:v>
      </x:c>
      <x:c r="N15" s="45" t="n">
        <x:v>0</x:v>
      </x:c>
      <x:c r="O15" s="45" t="n">
        <x:v>0</x:v>
      </x:c>
      <x:c r="P15" s="45" t="n">
        <x:v>0</x:v>
      </x:c>
      <x:c r="Q15" s="47" t="n">
        <x:v>10.45</x:v>
      </x:c>
      <x:c r="R15" s="47" t="n">
        <x:v>10.45</x:v>
      </x:c>
      <x:c r="S15" s="47" t="n">
        <x:v>0</x:v>
      </x:c>
      <x:c r="T15" s="48" t="n">
        <x:v>35.304</x:v>
      </x:c>
      <x:c r="U15" s="48" t="n">
        <x:v>71.837</x:v>
      </x:c>
      <x:c r="V15" s="48" t="n">
        <x:v>89.763</x:v>
      </x:c>
      <x:c r="W15" s="48" t="n">
        <x:v>35.304</x:v>
      </x:c>
      <x:c r="X15" s="48" t="n">
        <x:v>71.837</x:v>
      </x:c>
      <x:c r="Y15" s="48" t="n">
        <x:v>89.763</x:v>
      </x:c>
      <x:c r="Z15" s="43"/>
      <x:c r="AA15" s="43"/>
      <x:c r="AB15" s="43"/>
    </x:row>
    <x:row r="16" ht="20" customHeight="1">
      <x:c r="A16" s="43" t="str">
        <x:v>c4-run-3</x:v>
      </x:c>
      <x:c r="B16" s="43" t="str">
        <x:v>VALID</x:v>
      </x:c>
      <x:c r="C16" s="43" t="str">
        <x:v>STABLE</x:v>
      </x:c>
      <x:c r="D16" s="43" t="str">
        <x:v>stage_2</x:v>
      </x:c>
      <x:c r="E16" s="47" t="n">
        <x:v>22</x:v>
      </x:c>
      <x:c r="F16" s="47" t="n">
        <x:v>30</x:v>
      </x:c>
      <x:c r="G16" s="45" t="n">
        <x:v>631</x:v>
      </x:c>
      <x:c r="H16" s="45" t="n">
        <x:v>631</x:v>
      </x:c>
      <x:c r="I16" s="45" t="n">
        <x:v>602</x:v>
      </x:c>
      <x:c r="J16" s="45" t="n">
        <x:v>29</x:v>
      </x:c>
      <x:c r="K16" s="46" t="n">
        <x:v>4.596</x:v>
      </x:c>
      <x:c r="L16" s="45" t="n">
        <x:v>0</x:v>
      </x:c>
      <x:c r="M16" s="45" t="n">
        <x:v>0</x:v>
      </x:c>
      <x:c r="N16" s="45" t="n">
        <x:v>0</x:v>
      </x:c>
      <x:c r="O16" s="45" t="n">
        <x:v>0</x:v>
      </x:c>
      <x:c r="P16" s="45" t="n">
        <x:v>0</x:v>
      </x:c>
      <x:c r="Q16" s="47" t="n">
        <x:v>21.033333</x:v>
      </x:c>
      <x:c r="R16" s="47" t="n">
        <x:v>20.066667</x:v>
      </x:c>
      <x:c r="S16" s="47" t="n">
        <x:v>0.966667</x:v>
      </x:c>
      <x:c r="T16" s="48" t="n">
        <x:v>44.926</x:v>
      </x:c>
      <x:c r="U16" s="48" t="n">
        <x:v>104.358</x:v>
      </x:c>
      <x:c r="V16" s="48" t="n">
        <x:v>272.915</x:v>
      </x:c>
      <x:c r="W16" s="48" t="n">
        <x:v>47.048</x:v>
      </x:c>
      <x:c r="X16" s="48" t="n">
        <x:v>107.072</x:v>
      </x:c>
      <x:c r="Y16" s="48" t="n">
        <x:v>273.326</x:v>
      </x:c>
      <x:c r="Z16" s="48" t="n">
        <x:v>0.884</x:v>
      </x:c>
      <x:c r="AA16" s="48" t="n">
        <x:v>1.349</x:v>
      </x:c>
      <x:c r="AB16" s="48" t="n">
        <x:v>1.663</x:v>
      </x:c>
    </x:row>
    <x:row r="17" ht="20" customHeight="1">
      <x:c r="A17" s="43" t="str">
        <x:v>c4-run-3</x:v>
      </x:c>
      <x:c r="B17" s="43" t="str">
        <x:v>VALID</x:v>
      </x:c>
      <x:c r="C17" s="43" t="str">
        <x:v>STABLE</x:v>
      </x:c>
      <x:c r="D17" s="43" t="str">
        <x:v>stage_3</x:v>
      </x:c>
      <x:c r="E17" s="47" t="n">
        <x:v>22</x:v>
      </x:c>
      <x:c r="F17" s="47" t="n">
        <x:v>30</x:v>
      </x:c>
      <x:c r="G17" s="45" t="n">
        <x:v>660</x:v>
      </x:c>
      <x:c r="H17" s="45" t="n">
        <x:v>660</x:v>
      </x:c>
      <x:c r="I17" s="45" t="n">
        <x:v>600</x:v>
      </x:c>
      <x:c r="J17" s="45" t="n">
        <x:v>60</x:v>
      </x:c>
      <x:c r="K17" s="46" t="n">
        <x:v>9.091</x:v>
      </x:c>
      <x:c r="L17" s="45" t="n">
        <x:v>0</x:v>
      </x:c>
      <x:c r="M17" s="45" t="n">
        <x:v>0</x:v>
      </x:c>
      <x:c r="N17" s="45" t="n">
        <x:v>0</x:v>
      </x:c>
      <x:c r="O17" s="45" t="n">
        <x:v>0</x:v>
      </x:c>
      <x:c r="P17" s="45" t="n">
        <x:v>0</x:v>
      </x:c>
      <x:c r="Q17" s="47" t="n">
        <x:v>22</x:v>
      </x:c>
      <x:c r="R17" s="47" t="n">
        <x:v>20</x:v>
      </x:c>
      <x:c r="S17" s="47" t="n">
        <x:v>2</x:v>
      </x:c>
      <x:c r="T17" s="48" t="n">
        <x:v>35.407</x:v>
      </x:c>
      <x:c r="U17" s="48" t="n">
        <x:v>86.464</x:v>
      </x:c>
      <x:c r="V17" s="48" t="n">
        <x:v>105.792</x:v>
      </x:c>
      <x:c r="W17" s="48" t="n">
        <x:v>38.859</x:v>
      </x:c>
      <x:c r="X17" s="48" t="n">
        <x:v>87.684</x:v>
      </x:c>
      <x:c r="Y17" s="48" t="n">
        <x:v>106.263</x:v>
      </x:c>
      <x:c r="Z17" s="48" t="n">
        <x:v>0.886</x:v>
      </x:c>
      <x:c r="AA17" s="48" t="n">
        <x:v>1.117</x:v>
      </x:c>
      <x:c r="AB17" s="48" t="n">
        <x:v>1.629</x:v>
      </x:c>
    </x:row>
    <x:row r="18" ht="20" customHeight="1">
      <x:c r="A18" s="43" t="str">
        <x:v>c4-run-3</x:v>
      </x:c>
      <x:c r="B18" s="43" t="str">
        <x:v>VALID</x:v>
      </x:c>
      <x:c r="C18" s="43" t="str">
        <x:v>STABLE</x:v>
      </x:c>
      <x:c r="D18" s="43" t="str">
        <x:v>stage_4</x:v>
      </x:c>
      <x:c r="E18" s="47" t="n">
        <x:v>0</x:v>
      </x:c>
      <x:c r="F18" s="47" t="n">
        <x:v>10</x:v>
      </x:c>
      <x:c r="G18" s="45" t="n">
        <x:v>109</x:v>
      </x:c>
      <x:c r="H18" s="45" t="n">
        <x:v>109</x:v>
      </x:c>
      <x:c r="I18" s="45" t="n">
        <x:v>107</x:v>
      </x:c>
      <x:c r="J18" s="45" t="n">
        <x:v>2</x:v>
      </x:c>
      <x:c r="K18" s="46" t="n">
        <x:v>1.835</x:v>
      </x:c>
      <x:c r="L18" s="45" t="n">
        <x:v>0</x:v>
      </x:c>
      <x:c r="M18" s="45" t="n">
        <x:v>0</x:v>
      </x:c>
      <x:c r="N18" s="45" t="n">
        <x:v>0</x:v>
      </x:c>
      <x:c r="O18" s="45" t="n">
        <x:v>0</x:v>
      </x:c>
      <x:c r="P18" s="45" t="n">
        <x:v>0</x:v>
      </x:c>
      <x:c r="Q18" s="47" t="n">
        <x:v>10.9</x:v>
      </x:c>
      <x:c r="R18" s="47" t="n">
        <x:v>10.7</x:v>
      </x:c>
      <x:c r="S18" s="47" t="n">
        <x:v>0.2</x:v>
      </x:c>
      <x:c r="T18" s="48" t="n">
        <x:v>33.013</x:v>
      </x:c>
      <x:c r="U18" s="48" t="n">
        <x:v>78.137</x:v>
      </x:c>
      <x:c r="V18" s="48" t="n">
        <x:v>88.95</x:v>
      </x:c>
      <x:c r="W18" s="48" t="n">
        <x:v>33.615</x:v>
      </x:c>
      <x:c r="X18" s="48" t="n">
        <x:v>78.47</x:v>
      </x:c>
      <x:c r="Y18" s="48" t="n">
        <x:v>88.992</x:v>
      </x:c>
      <x:c r="Z18" s="48" t="n">
        <x:v>0.794</x:v>
      </x:c>
      <x:c r="AA18" s="48" t="n">
        <x:v>0.851</x:v>
      </x:c>
      <x:c r="AB18" s="48" t="n">
        <x:v>0.856</x:v>
      </x:c>
    </x:row>
  </x:sheetData>
  <x:mergeCells>
    <x:mergeCell ref="A5:H5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2" hidden="0" customWidth="1"/>
    <x:col min="5" max="5" width="27" hidden="0" customWidth="1"/>
    <x:col min="6" max="6" width="12" hidden="0" customWidth="1"/>
    <x:col min="7" max="7" width="12" hidden="0" customWidth="1"/>
    <x:col min="8" max="8" width="61" hidden="0" customWidth="1"/>
  </x:cols>
  <x:sheetData>
    <x:row r="2" ht="24" customHeight="1">
      <x:c r="A2" s="2" t="str">
        <x:v>Agregados descritivos do C4</x:v>
      </x:c>
    </x:row>
    <x:row r="3" ht="20" customHeight="1">
      <x:c r="A3" s="4" t="str">
        <x:v>Média, mediana, desvio-padrão amostral, mínimo e máximo usam exatamente três valores por execução.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11" t="str">
        <x:v>Síntese descritiva dos três ensaios válidos</x:v>
      </x:c>
      <x:c r="B5" s="12" t="str">
        <x:v>Síntese descritiva dos três ensaios válidos</x:v>
      </x:c>
      <x:c r="C5" s="12" t="str">
        <x:v>Síntese descritiva dos três ensaios válidos</x:v>
      </x:c>
      <x:c r="D5" s="12" t="str">
        <x:v>Síntese descritiva dos três ensaios válidos</x:v>
      </x:c>
      <x:c r="E5" s="12" t="str">
        <x:v>Síntese descritiva dos três ensaios válidos</x:v>
      </x:c>
      <x:c r="F5" s="12" t="str">
        <x:v>Síntese descritiva dos três ensaios válidos</x:v>
      </x:c>
      <x:c r="G5" s="12" t="str">
        <x:v>Síntese descritiva dos três ensaios válidos</x:v>
      </x:c>
      <x:c r="H5" s="13" t="str">
        <x:v>Síntese descritiva dos três ensaios válidos</x:v>
      </x:c>
    </x:row>
    <x:row r="6" ht="48" customHeight="1">
      <x:c r="A6" s="42" t="str">
        <x:v>metric</x:v>
      </x:c>
      <x:c r="B6" s="42" t="str">
        <x:v>sample_size</x:v>
      </x:c>
      <x:c r="C6" s="42" t="str">
        <x:v>mean</x:v>
      </x:c>
      <x:c r="D6" s="42" t="str">
        <x:v>median</x:v>
      </x:c>
      <x:c r="E6" s="42" t="str">
        <x:v>sample_standard_deviation</x:v>
      </x:c>
      <x:c r="F6" s="42" t="str">
        <x:v>min</x:v>
      </x:c>
      <x:c r="G6" s="42" t="str">
        <x:v>max</x:v>
      </x:c>
      <x:c r="H6" s="42" t="str">
        <x:v>aggregation_method</x:v>
      </x:c>
    </x:row>
    <x:row r="7" ht="20" customHeight="1">
      <x:c r="A7" s="43" t="str">
        <x:v>requests_started</x:v>
      </x:c>
      <x:c r="B7" s="45" t="n">
        <x:v>3</x:v>
      </x:c>
      <x:c r="C7" s="47" t="n">
        <x:v>1609</x:v>
      </x:c>
      <x:c r="D7" s="47" t="n">
        <x:v>1609</x:v>
      </x:c>
      <x:c r="E7" s="47" t="n">
        <x:v>0</x:v>
      </x:c>
      <x:c r="F7" s="47" t="n">
        <x:v>1609</x:v>
      </x:c>
      <x:c r="G7" s="47" t="n">
        <x:v>1609</x:v>
      </x:c>
      <x:c r="H7" s="43" t="str">
        <x:v>statistics across the three official run-level values (n=3)</x:v>
      </x:c>
    </x:row>
    <x:row r="8" ht="20" customHeight="1">
      <x:c r="A8" s="43" t="str">
        <x:v>classified_http_requests</x:v>
      </x:c>
      <x:c r="B8" s="45" t="n">
        <x:v>3</x:v>
      </x:c>
      <x:c r="C8" s="47" t="n">
        <x:v>1609</x:v>
      </x:c>
      <x:c r="D8" s="47" t="n">
        <x:v>1609</x:v>
      </x:c>
      <x:c r="E8" s="47" t="n">
        <x:v>0</x:v>
      </x:c>
      <x:c r="F8" s="47" t="n">
        <x:v>1609</x:v>
      </x:c>
      <x:c r="G8" s="47" t="n">
        <x:v>1609</x:v>
      </x:c>
      <x:c r="H8" s="43" t="str">
        <x:v>statistics across the three official run-level values (n=3)</x:v>
      </x:c>
    </x:row>
    <x:row r="9" ht="20" customHeight="1">
      <x:c r="A9" s="43" t="str">
        <x:v>responses_2xx</x:v>
      </x:c>
      <x:c r="B9" s="45" t="n">
        <x:v>3</x:v>
      </x:c>
      <x:c r="C9" s="47" t="n">
        <x:v>1518.333333</x:v>
      </x:c>
      <x:c r="D9" s="47" t="n">
        <x:v>1518</x:v>
      </x:c>
      <x:c r="E9" s="47" t="n">
        <x:v>0.57735</x:v>
      </x:c>
      <x:c r="F9" s="47" t="n">
        <x:v>1518</x:v>
      </x:c>
      <x:c r="G9" s="47" t="n">
        <x:v>1519</x:v>
      </x:c>
      <x:c r="H9" s="43" t="str">
        <x:v>statistics across the three official run-level values (n=3)</x:v>
      </x:c>
    </x:row>
    <x:row r="10" ht="20" customHeight="1">
      <x:c r="A10" s="43" t="str">
        <x:v>responses_429</x:v>
      </x:c>
      <x:c r="B10" s="45" t="n">
        <x:v>3</x:v>
      </x:c>
      <x:c r="C10" s="47" t="n">
        <x:v>90.666667</x:v>
      </x:c>
      <x:c r="D10" s="47" t="n">
        <x:v>91</x:v>
      </x:c>
      <x:c r="E10" s="47" t="n">
        <x:v>0.57735</x:v>
      </x:c>
      <x:c r="F10" s="47" t="n">
        <x:v>90</x:v>
      </x:c>
      <x:c r="G10" s="47" t="n">
        <x:v>91</x:v>
      </x:c>
      <x:c r="H10" s="43" t="str">
        <x:v>statistics across the three official run-level values (n=3)</x:v>
      </x:c>
    </x:row>
    <x:row r="11" ht="20" customHeight="1">
      <x:c r="A11" s="43" t="str">
        <x:v>responses_429_percent</x:v>
      </x:c>
      <x:c r="B11" s="45" t="n">
        <x:v>3</x:v>
      </x:c>
      <x:c r="C11" s="47" t="n">
        <x:v>5.635333</x:v>
      </x:c>
      <x:c r="D11" s="47" t="n">
        <x:v>5.656</x:v>
      </x:c>
      <x:c r="E11" s="47" t="n">
        <x:v>0.035796</x:v>
      </x:c>
      <x:c r="F11" s="47" t="n">
        <x:v>5.594</x:v>
      </x:c>
      <x:c r="G11" s="47" t="n">
        <x:v>5.656</x:v>
      </x:c>
      <x:c r="H11" s="43" t="str">
        <x:v>statistics across the three official run-level values (n=3)</x:v>
      </x:c>
    </x:row>
    <x:row r="12" ht="20" customHeight="1">
      <x:c r="A12" s="43" t="str">
        <x:v>responses_5xx</x:v>
      </x:c>
      <x:c r="B12" s="45" t="n">
        <x:v>3</x:v>
      </x:c>
      <x:c r="C12" s="47" t="n">
        <x:v>0</x:v>
      </x:c>
      <x:c r="D12" s="47" t="n">
        <x:v>0</x:v>
      </x:c>
      <x:c r="E12" s="47" t="n">
        <x:v>0</x:v>
      </x:c>
      <x:c r="F12" s="47" t="n">
        <x:v>0</x:v>
      </x:c>
      <x:c r="G12" s="47" t="n">
        <x:v>0</x:v>
      </x:c>
      <x:c r="H12" s="43" t="str">
        <x:v>statistics across the three official run-level values (n=3)</x:v>
      </x:c>
    </x:row>
    <x:row r="13" ht="20" customHeight="1">
      <x:c r="A13" s="43" t="str">
        <x:v>connection_errors</x:v>
      </x:c>
      <x:c r="B13" s="45" t="n">
        <x:v>3</x:v>
      </x:c>
      <x:c r="C13" s="47" t="n">
        <x:v>0</x:v>
      </x:c>
      <x:c r="D13" s="47" t="n">
        <x:v>0</x:v>
      </x:c>
      <x:c r="E13" s="47" t="n">
        <x:v>0</x:v>
      </x:c>
      <x:c r="F13" s="47" t="n">
        <x:v>0</x:v>
      </x:c>
      <x:c r="G13" s="47" t="n">
        <x:v>0</x:v>
      </x:c>
      <x:c r="H13" s="43" t="str">
        <x:v>statistics across the three official run-level values (n=3)</x:v>
      </x:c>
    </x:row>
    <x:row r="14" ht="20" customHeight="1">
      <x:c r="A14" s="43" t="str">
        <x:v>unexpected_statuses</x:v>
      </x:c>
      <x:c r="B14" s="45" t="n">
        <x:v>3</x:v>
      </x:c>
      <x:c r="C14" s="47" t="n">
        <x:v>0</x:v>
      </x:c>
      <x:c r="D14" s="47" t="n">
        <x:v>0</x:v>
      </x:c>
      <x:c r="E14" s="47" t="n">
        <x:v>0</x:v>
      </x:c>
      <x:c r="F14" s="47" t="n">
        <x:v>0</x:v>
      </x:c>
      <x:c r="G14" s="47" t="n">
        <x:v>0</x:v>
      </x:c>
      <x:c r="H14" s="43" t="str">
        <x:v>statistics across the three official run-level values (n=3)</x:v>
      </x:c>
    </x:row>
    <x:row r="15" ht="20" customHeight="1">
      <x:c r="A15" s="43" t="str">
        <x:v>unexpected_failures</x:v>
      </x:c>
      <x:c r="B15" s="45" t="n">
        <x:v>3</x:v>
      </x:c>
      <x:c r="C15" s="47" t="n">
        <x:v>0</x:v>
      </x:c>
      <x:c r="D15" s="47" t="n">
        <x:v>0</x:v>
      </x:c>
      <x:c r="E15" s="47" t="n">
        <x:v>0</x:v>
      </x:c>
      <x:c r="F15" s="47" t="n">
        <x:v>0</x:v>
      </x:c>
      <x:c r="G15" s="47" t="n">
        <x:v>0</x:v>
      </x:c>
      <x:c r="H15" s="43" t="str">
        <x:v>statistics across the three official run-level values (n=3)</x:v>
      </x:c>
    </x:row>
    <x:row r="16" ht="20" customHeight="1">
      <x:c r="A16" s="43" t="str">
        <x:v>unexpected_failures_percent</x:v>
      </x:c>
      <x:c r="B16" s="45" t="n">
        <x:v>3</x:v>
      </x:c>
      <x:c r="C16" s="47" t="n">
        <x:v>0</x:v>
      </x:c>
      <x:c r="D16" s="47" t="n">
        <x:v>0</x:v>
      </x:c>
      <x:c r="E16" s="47" t="n">
        <x:v>0</x:v>
      </x:c>
      <x:c r="F16" s="47" t="n">
        <x:v>0</x:v>
      </x:c>
      <x:c r="G16" s="47" t="n">
        <x:v>0</x:v>
      </x:c>
      <x:c r="H16" s="43" t="str">
        <x:v>statistics across the three official run-level values (n=3)</x:v>
      </x:c>
    </x:row>
    <x:row r="17" ht="20" customHeight="1">
      <x:c r="A17" s="43" t="str">
        <x:v>dropped_iterations</x:v>
      </x:c>
      <x:c r="B17" s="45" t="n">
        <x:v>3</x:v>
      </x:c>
      <x:c r="C17" s="47" t="n">
        <x:v>0</x:v>
      </x:c>
      <x:c r="D17" s="47" t="n">
        <x:v>0</x:v>
      </x:c>
      <x:c r="E17" s="47" t="n">
        <x:v>0</x:v>
      </x:c>
      <x:c r="F17" s="47" t="n">
        <x:v>0</x:v>
      </x:c>
      <x:c r="G17" s="47" t="n">
        <x:v>0</x:v>
      </x:c>
      <x:c r="H17" s="43" t="str">
        <x:v>statistics across the three official run-level values (n=3)</x:v>
      </x:c>
    </x:row>
    <x:row r="18" ht="20" customHeight="1">
      <x:c r="A18" s="43" t="str">
        <x:v>dropped_iterations_percent</x:v>
      </x:c>
      <x:c r="B18" s="45" t="n">
        <x:v>3</x:v>
      </x:c>
      <x:c r="C18" s="47" t="n">
        <x:v>0</x:v>
      </x:c>
      <x:c r="D18" s="47" t="n">
        <x:v>0</x:v>
      </x:c>
      <x:c r="E18" s="47" t="n">
        <x:v>0</x:v>
      </x:c>
      <x:c r="F18" s="47" t="n">
        <x:v>0</x:v>
      </x:c>
      <x:c r="G18" s="47" t="n">
        <x:v>0</x:v>
      </x:c>
      <x:c r="H18" s="43" t="str">
        <x:v>statistics across the three official run-level values (n=3)</x:v>
      </x:c>
    </x:row>
    <x:row r="19" ht="20" customHeight="1">
      <x:c r="A19" s="43" t="str">
        <x:v>throughput_rps</x:v>
      </x:c>
      <x:c r="B19" s="45" t="n">
        <x:v>3</x:v>
      </x:c>
      <x:c r="C19" s="47" t="n">
        <x:v>17.878593</x:v>
      </x:c>
      <x:c r="D19" s="47" t="n">
        <x:v>17.878546</x:v>
      </x:c>
      <x:c r="E19" s="47" t="n">
        <x:v>0.000085</x:v>
      </x:c>
      <x:c r="F19" s="47" t="n">
        <x:v>17.878542</x:v>
      </x:c>
      <x:c r="G19" s="47" t="n">
        <x:v>17.878692</x:v>
      </x:c>
      <x:c r="H19" s="43" t="str">
        <x:v>statistics across the three official run-level values (n=3)</x:v>
      </x:c>
    </x:row>
    <x:row r="20" ht="20" customHeight="1">
      <x:c r="A20" s="43" t="str">
        <x:v>accepted_throughput_rps</x:v>
      </x:c>
      <x:c r="B20" s="45" t="n">
        <x:v>3</x:v>
      </x:c>
      <x:c r="C20" s="47" t="n">
        <x:v>16.87114</x:v>
      </x:c>
      <x:c r="D20" s="47" t="n">
        <x:v>16.867529</x:v>
      </x:c>
      <x:c r="E20" s="47" t="n">
        <x:v>0.006374</x:v>
      </x:c>
      <x:c r="F20" s="47" t="n">
        <x:v>16.867391</x:v>
      </x:c>
      <x:c r="G20" s="47" t="n">
        <x:v>16.878499</x:v>
      </x:c>
      <x:c r="H20" s="43" t="str">
        <x:v>statistics across the three official run-level values (n=3)</x:v>
      </x:c>
    </x:row>
    <x:row r="21" ht="20" customHeight="1">
      <x:c r="A21" s="43" t="str">
        <x:v>rejected_throughput_rps</x:v>
      </x:c>
      <x:c r="B21" s="45" t="n">
        <x:v>3</x:v>
      </x:c>
      <x:c r="C21" s="47" t="n">
        <x:v>1.007454</x:v>
      </x:c>
      <x:c r="D21" s="47" t="n">
        <x:v>1.011155</x:v>
      </x:c>
      <x:c r="E21" s="47" t="n">
        <x:v>0.006418</x:v>
      </x:c>
      <x:c r="F21" s="47" t="n">
        <x:v>1.000043</x:v>
      </x:c>
      <x:c r="G21" s="47" t="n">
        <x:v>1.011163</x:v>
      </x:c>
      <x:c r="H21" s="43" t="str">
        <x:v>statistics across the three official run-level values (n=3)</x:v>
      </x:c>
    </x:row>
    <x:row r="22" ht="20" customHeight="1">
      <x:c r="A22" s="43" t="str">
        <x:v>latency_average_ms</x:v>
      </x:c>
      <x:c r="B22" s="45" t="n">
        <x:v>3</x:v>
      </x:c>
      <x:c r="C22" s="47" t="n">
        <x:v>374.5</x:v>
      </x:c>
      <x:c r="D22" s="47" t="n">
        <x:v>40.672</x:v>
      </x:c>
      <x:c r="E22" s="47" t="n">
        <x:v>579.686857</x:v>
      </x:c>
      <x:c r="F22" s="47" t="n">
        <x:v>38.964</x:v>
      </x:c>
      <x:c r="G22" s="47" t="n">
        <x:v>1043.864</x:v>
      </x:c>
      <x:c r="H22" s="43" t="str">
        <x:v>statistics across the three official run-level values (n=3)</x:v>
      </x:c>
    </x:row>
    <x:row r="23" ht="20" customHeight="1">
      <x:c r="A23" s="43" t="str">
        <x:v>latency_p95_ms</x:v>
      </x:c>
      <x:c r="B23" s="45" t="n">
        <x:v>3</x:v>
      </x:c>
      <x:c r="C23" s="47" t="n">
        <x:v>1272.047667</x:v>
      </x:c>
      <x:c r="D23" s="47" t="n">
        <x:v>88.009</x:v>
      </x:c>
      <x:c r="E23" s="47" t="n">
        <x:v>2055.483039</x:v>
      </x:c>
      <x:c r="F23" s="47" t="n">
        <x:v>82.621</x:v>
      </x:c>
      <x:c r="G23" s="47" t="n">
        <x:v>3645.513</x:v>
      </x:c>
      <x:c r="H23" s="43" t="str">
        <x:v>run-level percentiles; raw samples were not pooled</x:v>
      </x:c>
    </x:row>
    <x:row r="24" ht="20" customHeight="1">
      <x:c r="A24" s="43" t="str">
        <x:v>latency_p99_ms</x:v>
      </x:c>
      <x:c r="B24" s="45" t="n">
        <x:v>3</x:v>
      </x:c>
      <x:c r="C24" s="47" t="n">
        <x:v>1849.712667</x:v>
      </x:c>
      <x:c r="D24" s="47" t="n">
        <x:v>219.522</x:v>
      </x:c>
      <x:c r="E24" s="47" t="n">
        <x:v>2925.377893</x:v>
      </x:c>
      <x:c r="F24" s="47" t="n">
        <x:v>102.642</x:v>
      </x:c>
      <x:c r="G24" s="47" t="n">
        <x:v>5226.974</x:v>
      </x:c>
      <x:c r="H24" s="43" t="str">
        <x:v>run-level percentiles; raw samples were not pooled</x:v>
      </x:c>
    </x:row>
    <x:row r="25" ht="20" customHeight="1">
      <x:c r="A25" s="43" t="str">
        <x:v>response_2xx_average_ms</x:v>
      </x:c>
      <x:c r="B25" s="45" t="n">
        <x:v>3</x:v>
      </x:c>
      <x:c r="C25" s="47" t="n">
        <x:v>396.887667</x:v>
      </x:c>
      <x:c r="D25" s="47" t="n">
        <x:v>43.028</x:v>
      </x:c>
      <x:c r="E25" s="47" t="n">
        <x:v>614.445958</x:v>
      </x:c>
      <x:c r="F25" s="47" t="n">
        <x:v>41.247</x:v>
      </x:c>
      <x:c r="G25" s="47" t="n">
        <x:v>1106.388</x:v>
      </x:c>
      <x:c r="H25" s="43" t="str">
        <x:v>statistics across the three official run-level values (n=3)</x:v>
      </x:c>
    </x:row>
    <x:row r="26" ht="20" customHeight="1">
      <x:c r="A26" s="43" t="str">
        <x:v>response_2xx_p95_ms</x:v>
      </x:c>
      <x:c r="B26" s="45" t="n">
        <x:v>3</x:v>
      </x:c>
      <x:c r="C26" s="47" t="n">
        <x:v>1281.115333</x:v>
      </x:c>
      <x:c r="D26" s="47" t="n">
        <x:v>89.967</x:v>
      </x:c>
      <x:c r="E26" s="47" t="n">
        <x:v>2068.3867</x:v>
      </x:c>
      <x:c r="F26" s="47" t="n">
        <x:v>83.899</x:v>
      </x:c>
      <x:c r="G26" s="47" t="n">
        <x:v>3669.48</x:v>
      </x:c>
      <x:c r="H26" s="43" t="str">
        <x:v>run-level percentiles; raw samples were not pooled</x:v>
      </x:c>
    </x:row>
    <x:row r="27" ht="20" customHeight="1">
      <x:c r="A27" s="43" t="str">
        <x:v>response_2xx_p99_ms</x:v>
      </x:c>
      <x:c r="B27" s="45" t="n">
        <x:v>3</x:v>
      </x:c>
      <x:c r="C27" s="47" t="n">
        <x:v>1853.475667</x:v>
      </x:c>
      <x:c r="D27" s="47" t="n">
        <x:v>221.551</x:v>
      </x:c>
      <x:c r="E27" s="47" t="n">
        <x:v>2928.235284</x:v>
      </x:c>
      <x:c r="F27" s="47" t="n">
        <x:v>104.837</x:v>
      </x:c>
      <x:c r="G27" s="47" t="n">
        <x:v>5234.039</x:v>
      </x:c>
      <x:c r="H27" s="43" t="str">
        <x:v>run-level percentiles; raw samples were not pooled</x:v>
      </x:c>
    </x:row>
    <x:row r="28" ht="20" customHeight="1">
      <x:c r="A28" s="43" t="str">
        <x:v>response_429_average_ms</x:v>
      </x:c>
      <x:c r="B28" s="45" t="n">
        <x:v>3</x:v>
      </x:c>
      <x:c r="C28" s="47" t="n">
        <x:v>0.888</x:v>
      </x:c>
      <x:c r="D28" s="47" t="n">
        <x:v>0.883</x:v>
      </x:c>
      <x:c r="E28" s="47" t="n">
        <x:v>0.015133</x:v>
      </x:c>
      <x:c r="F28" s="47" t="n">
        <x:v>0.876</x:v>
      </x:c>
      <x:c r="G28" s="47" t="n">
        <x:v>0.905</x:v>
      </x:c>
      <x:c r="H28" s="43" t="str">
        <x:v>statistics across the three official run-level values (n=3)</x:v>
      </x:c>
    </x:row>
    <x:row r="29" ht="20" customHeight="1">
      <x:c r="A29" s="43" t="str">
        <x:v>response_429_p95_ms</x:v>
      </x:c>
      <x:c r="B29" s="45" t="n">
        <x:v>3</x:v>
      </x:c>
      <x:c r="C29" s="47" t="n">
        <x:v>1.29</x:v>
      </x:c>
      <x:c r="D29" s="47" t="n">
        <x:v>1.283</x:v>
      </x:c>
      <x:c r="E29" s="47" t="n">
        <x:v>0.04987</x:v>
      </x:c>
      <x:c r="F29" s="47" t="n">
        <x:v>1.244</x:v>
      </x:c>
      <x:c r="G29" s="47" t="n">
        <x:v>1.343</x:v>
      </x:c>
      <x:c r="H29" s="43" t="str">
        <x:v>run-level percentiles; raw samples were not pooled</x:v>
      </x:c>
    </x:row>
    <x:row r="30" ht="20" customHeight="1">
      <x:c r="A30" s="43" t="str">
        <x:v>response_429_p99_ms</x:v>
      </x:c>
      <x:c r="B30" s="45" t="n">
        <x:v>3</x:v>
      </x:c>
      <x:c r="C30" s="47" t="n">
        <x:v>1.797</x:v>
      </x:c>
      <x:c r="D30" s="47" t="n">
        <x:v>1.739</x:v>
      </x:c>
      <x:c r="E30" s="47" t="n">
        <x:v>0.206211</x:v>
      </x:c>
      <x:c r="F30" s="47" t="n">
        <x:v>1.626</x:v>
      </x:c>
      <x:c r="G30" s="47" t="n">
        <x:v>2.026</x:v>
      </x:c>
      <x:c r="H30" s="43" t="str">
        <x:v>run-level percentiles; raw samples were not pooled</x:v>
      </x:c>
    </x:row>
    <x:row r="31" ht="20" customHeight="1">
      <x:c r="A31" s="43" t="str">
        <x:v>orders_created</x:v>
      </x:c>
      <x:c r="B31" s="45" t="n">
        <x:v>3</x:v>
      </x:c>
      <x:c r="C31" s="47" t="n">
        <x:v>1518.333333</x:v>
      </x:c>
      <x:c r="D31" s="47" t="n">
        <x:v>1518</x:v>
      </x:c>
      <x:c r="E31" s="47" t="n">
        <x:v>0.57735</x:v>
      </x:c>
      <x:c r="F31" s="47" t="n">
        <x:v>1518</x:v>
      </x:c>
      <x:c r="G31" s="47" t="n">
        <x:v>1519</x:v>
      </x:c>
      <x:c r="H31" s="43" t="str">
        <x:v>statistics across the three official run-level values (n=3)</x:v>
      </x:c>
    </x:row>
    <x:row r="32" ht="20" customHeight="1">
      <x:c r="A32" s="43" t="str">
        <x:v>orders_completed</x:v>
      </x:c>
      <x:c r="B32" s="45" t="n">
        <x:v>3</x:v>
      </x:c>
      <x:c r="C32" s="47" t="n">
        <x:v>1518.333333</x:v>
      </x:c>
      <x:c r="D32" s="47" t="n">
        <x:v>1518</x:v>
      </x:c>
      <x:c r="E32" s="47" t="n">
        <x:v>0.57735</x:v>
      </x:c>
      <x:c r="F32" s="47" t="n">
        <x:v>1518</x:v>
      </x:c>
      <x:c r="G32" s="47" t="n">
        <x:v>1519</x:v>
      </x:c>
      <x:c r="H32" s="43" t="str">
        <x:v>statistics across the three official run-level values (n=3)</x:v>
      </x:c>
    </x:row>
    <x:row r="33" ht="20" customHeight="1">
      <x:c r="A33" s="43" t="str">
        <x:v>orders_pending</x:v>
      </x:c>
      <x:c r="B33" s="45" t="n">
        <x:v>3</x:v>
      </x:c>
      <x:c r="C33" s="47" t="n">
        <x:v>0</x:v>
      </x:c>
      <x:c r="D33" s="47" t="n">
        <x:v>0</x:v>
      </x:c>
      <x:c r="E33" s="47" t="n">
        <x:v>0</x:v>
      </x:c>
      <x:c r="F33" s="47" t="n">
        <x:v>0</x:v>
      </x:c>
      <x:c r="G33" s="47" t="n">
        <x:v>0</x:v>
      </x:c>
      <x:c r="H33" s="43" t="str">
        <x:v>statistics across the three official run-level values (n=3)</x:v>
      </x:c>
    </x:row>
    <x:row r="34" ht="20" customHeight="1">
      <x:c r="A34" s="43" t="str">
        <x:v>orders_processing</x:v>
      </x:c>
      <x:c r="B34" s="45" t="n">
        <x:v>3</x:v>
      </x:c>
      <x:c r="C34" s="47" t="n">
        <x:v>0</x:v>
      </x:c>
      <x:c r="D34" s="47" t="n">
        <x:v>0</x:v>
      </x:c>
      <x:c r="E34" s="47" t="n">
        <x:v>0</x:v>
      </x:c>
      <x:c r="F34" s="47" t="n">
        <x:v>0</x:v>
      </x:c>
      <x:c r="G34" s="47" t="n">
        <x:v>0</x:v>
      </x:c>
      <x:c r="H34" s="43" t="str">
        <x:v>statistics across the three official run-level values (n=3)</x:v>
      </x:c>
    </x:row>
    <x:row r="35" ht="20" customHeight="1">
      <x:c r="A35" s="43" t="str">
        <x:v>orders_failed</x:v>
      </x:c>
      <x:c r="B35" s="45" t="n">
        <x:v>3</x:v>
      </x:c>
      <x:c r="C35" s="47" t="n">
        <x:v>0</x:v>
      </x:c>
      <x:c r="D35" s="47" t="n">
        <x:v>0</x:v>
      </x:c>
      <x:c r="E35" s="47" t="n">
        <x:v>0</x:v>
      </x:c>
      <x:c r="F35" s="47" t="n">
        <x:v>0</x:v>
      </x:c>
      <x:c r="G35" s="47" t="n">
        <x:v>0</x:v>
      </x:c>
      <x:c r="H35" s="43" t="str">
        <x:v>statistics across the three official run-level values (n=3)</x:v>
      </x:c>
    </x:row>
    <x:row r="36" ht="20" customHeight="1">
      <x:c r="A36" s="43" t="str">
        <x:v>completion_rate_percent</x:v>
      </x:c>
      <x:c r="B36" s="45" t="n">
        <x:v>3</x:v>
      </x:c>
      <x:c r="C36" s="47" t="n">
        <x:v>100</x:v>
      </x:c>
      <x:c r="D36" s="47" t="n">
        <x:v>100</x:v>
      </x:c>
      <x:c r="E36" s="47" t="n">
        <x:v>0</x:v>
      </x:c>
      <x:c r="F36" s="47" t="n">
        <x:v>100</x:v>
      </x:c>
      <x:c r="G36" s="47" t="n">
        <x:v>100</x:v>
      </x:c>
      <x:c r="H36" s="43" t="str">
        <x:v>statistics across the three official run-level values (n=3)</x:v>
      </x:c>
    </x:row>
    <x:row r="37" ht="20" customHeight="1">
      <x:c r="A37" s="43" t="str">
        <x:v>order_processing_p95_ms</x:v>
      </x:c>
      <x:c r="B37" s="45" t="n">
        <x:v>3</x:v>
      </x:c>
      <x:c r="C37" s="47" t="n">
        <x:v>272.982</x:v>
      </x:c>
      <x:c r="D37" s="47" t="n">
        <x:v>97.068</x:v>
      </x:c>
      <x:c r="E37" s="47" t="n">
        <x:v>315.608976</x:v>
      </x:c>
      <x:c r="F37" s="47" t="n">
        <x:v>84.534</x:v>
      </x:c>
      <x:c r="G37" s="47" t="n">
        <x:v>637.344</x:v>
      </x:c>
      <x:c r="H37" s="43" t="str">
        <x:v>run-level percentiles; raw samples were not pooled</x:v>
      </x:c>
    </x:row>
    <x:row r="38" ht="20" customHeight="1">
      <x:c r="A38" s="43" t="str">
        <x:v>order_processing_p99_ms</x:v>
      </x:c>
      <x:c r="B38" s="45" t="n">
        <x:v>3</x:v>
      </x:c>
      <x:c r="C38" s="47" t="n">
        <x:v>354.746333</x:v>
      </x:c>
      <x:c r="D38" s="47" t="n">
        <x:v>151.339</x:v>
      </x:c>
      <x:c r="E38" s="47" t="n">
        <x:v>390.24551</x:v>
      </x:c>
      <x:c r="F38" s="47" t="n">
        <x:v>108.225</x:v>
      </x:c>
      <x:c r="G38" s="47" t="n">
        <x:v>804.675</x:v>
      </x:c>
      <x:c r="H38" s="43" t="str">
        <x:v>run-level percentiles; raw samples were not pooled</x:v>
      </x:c>
    </x:row>
    <x:row r="39" ht="20" customHeight="1">
      <x:c r="A39" s="43" t="str">
        <x:v>drain_duration_seconds</x:v>
      </x:c>
      <x:c r="B39" s="45" t="n">
        <x:v>3</x:v>
      </x:c>
      <x:c r="C39" s="47" t="n">
        <x:v>21</x:v>
      </x:c>
      <x:c r="D39" s="47" t="n">
        <x:v>4</x:v>
      </x:c>
      <x:c r="E39" s="47" t="n">
        <x:v>29.444864</x:v>
      </x:c>
      <x:c r="F39" s="47" t="n">
        <x:v>4</x:v>
      </x:c>
      <x:c r="G39" s="47" t="n">
        <x:v>55</x:v>
      </x:c>
      <x:c r="H39" s="43" t="str">
        <x:v>statistics across the three official run-level values (n=3)</x:v>
      </x:c>
    </x:row>
    <x:row r="40" ht="20" customHeight="1">
      <x:c r="A40" s="43" t="str">
        <x:v>max_backlog</x:v>
      </x:c>
      <x:c r="B40" s="45" t="n">
        <x:v>3</x:v>
      </x:c>
      <x:c r="C40" s="47" t="n">
        <x:v>1</x:v>
      </x:c>
      <x:c r="D40" s="47" t="n">
        <x:v>1</x:v>
      </x:c>
      <x:c r="E40" s="47" t="n">
        <x:v>0</x:v>
      </x:c>
      <x:c r="F40" s="47" t="n">
        <x:v>1</x:v>
      </x:c>
      <x:c r="G40" s="47" t="n">
        <x:v>1</x:v>
      </x:c>
      <x:c r="H40" s="43" t="str">
        <x:v>statistics across the three official run-level values (n=3)</x:v>
      </x:c>
    </x:row>
    <x:row r="41" ht="20" customHeight="1">
      <x:c r="A41" s="43" t="str">
        <x:v>api_peak_cpu_cores</x:v>
      </x:c>
      <x:c r="B41" s="45" t="n">
        <x:v>3</x:v>
      </x:c>
      <x:c r="C41" s="47" t="n">
        <x:v>0.459003</x:v>
      </x:c>
      <x:c r="D41" s="47" t="n">
        <x:v>0.470021</x:v>
      </x:c>
      <x:c r="E41" s="47" t="n">
        <x:v>0.046537</x:v>
      </x:c>
      <x:c r="F41" s="47" t="n">
        <x:v>0.407946</x:v>
      </x:c>
      <x:c r="G41" s="47" t="n">
        <x:v>0.499042</x:v>
      </x:c>
      <x:c r="H41" s="43" t="str">
        <x:v>statistics across the three official run-level values (n=3)</x:v>
      </x:c>
    </x:row>
    <x:row r="42" ht="20" customHeight="1">
      <x:c r="A42" s="43" t="str">
        <x:v>api_peak_memory_mib</x:v>
      </x:c>
      <x:c r="B42" s="45" t="n">
        <x:v>3</x:v>
      </x:c>
      <x:c r="C42" s="47" t="n">
        <x:v>82.925781</x:v>
      </x:c>
      <x:c r="D42" s="47" t="n">
        <x:v>84.585938</x:v>
      </x:c>
      <x:c r="E42" s="47" t="n">
        <x:v>4.919842</x:v>
      </x:c>
      <x:c r="F42" s="47" t="n">
        <x:v>77.390625</x:v>
      </x:c>
      <x:c r="G42" s="47" t="n">
        <x:v>86.800781</x:v>
      </x:c>
      <x:c r="H42" s="43" t="str">
        <x:v>statistics across the three official run-level values (n=3)</x:v>
      </x:c>
    </x:row>
    <x:row r="43" ht="20" customHeight="1">
      <x:c r="A43" s="43" t="str">
        <x:v>gateway_peak_cpu_cores</x:v>
      </x:c>
      <x:c r="B43" s="45" t="n">
        <x:v>3</x:v>
      </x:c>
      <x:c r="C43" s="47" t="n">
        <x:v>0.149043</x:v>
      </x:c>
      <x:c r="D43" s="47" t="n">
        <x:v>0.047749</x:v>
      </x:c>
      <x:c r="E43" s="47" t="n">
        <x:v>0.180684</x:v>
      </x:c>
      <x:c r="F43" s="47" t="n">
        <x:v>0.041729</x:v>
      </x:c>
      <x:c r="G43" s="47" t="n">
        <x:v>0.35765</x:v>
      </x:c>
      <x:c r="H43" s="43" t="str">
        <x:v>statistics across the three official run-level values (n=3)</x:v>
      </x:c>
    </x:row>
    <x:row r="44" ht="20" customHeight="1">
      <x:c r="A44" s="43" t="str">
        <x:v>gateway_peak_memory_mib</x:v>
      </x:c>
      <x:c r="B44" s="45" t="n">
        <x:v>3</x:v>
      </x:c>
      <x:c r="C44" s="47" t="n">
        <x:v>503.710937</x:v>
      </x:c>
      <x:c r="D44" s="47" t="n">
        <x:v>505.566406</x:v>
      </x:c>
      <x:c r="E44" s="47" t="n">
        <x:v>9.109639</x:v>
      </x:c>
      <x:c r="F44" s="47" t="n">
        <x:v>493.816406</x:v>
      </x:c>
      <x:c r="G44" s="47" t="n">
        <x:v>511.75</x:v>
      </x:c>
      <x:c r="H44" s="43" t="str">
        <x:v>statistics across the three official run-level values (n=3)</x:v>
      </x:c>
    </x:row>
    <x:row r="45" ht="20" customHeight="1">
      <x:c r="A45" s="43" t="str">
        <x:v>initial_api_replicas</x:v>
      </x:c>
      <x:c r="B45" s="45" t="n">
        <x:v>3</x:v>
      </x:c>
      <x:c r="C45" s="47" t="n">
        <x:v>1</x:v>
      </x:c>
      <x:c r="D45" s="47" t="n">
        <x:v>1</x:v>
      </x:c>
      <x:c r="E45" s="47" t="n">
        <x:v>0</x:v>
      </x:c>
      <x:c r="F45" s="47" t="n">
        <x:v>1</x:v>
      </x:c>
      <x:c r="G45" s="47" t="n">
        <x:v>1</x:v>
      </x:c>
      <x:c r="H45" s="43" t="str">
        <x:v>statistics across the three official run-level values (n=3)</x:v>
      </x:c>
    </x:row>
    <x:row r="46" ht="20" customHeight="1">
      <x:c r="A46" s="43" t="str">
        <x:v>configured_min_replicas</x:v>
      </x:c>
      <x:c r="B46" s="45" t="n">
        <x:v>3</x:v>
      </x:c>
      <x:c r="C46" s="47" t="n">
        <x:v>1</x:v>
      </x:c>
      <x:c r="D46" s="47" t="n">
        <x:v>1</x:v>
      </x:c>
      <x:c r="E46" s="47" t="n">
        <x:v>0</x:v>
      </x:c>
      <x:c r="F46" s="47" t="n">
        <x:v>1</x:v>
      </x:c>
      <x:c r="G46" s="47" t="n">
        <x:v>1</x:v>
      </x:c>
      <x:c r="H46" s="43" t="str">
        <x:v>statistics across the three official run-level values (n=3)</x:v>
      </x:c>
    </x:row>
    <x:row r="47" ht="20" customHeight="1">
      <x:c r="A47" s="43" t="str">
        <x:v>configured_max_replicas</x:v>
      </x:c>
      <x:c r="B47" s="45" t="n">
        <x:v>3</x:v>
      </x:c>
      <x:c r="C47" s="47" t="n">
        <x:v>5</x:v>
      </x:c>
      <x:c r="D47" s="47" t="n">
        <x:v>5</x:v>
      </x:c>
      <x:c r="E47" s="47" t="n">
        <x:v>0</x:v>
      </x:c>
      <x:c r="F47" s="47" t="n">
        <x:v>5</x:v>
      </x:c>
      <x:c r="G47" s="47" t="n">
        <x:v>5</x:v>
      </x:c>
      <x:c r="H47" s="43" t="str">
        <x:v>statistics across the three official run-level values (n=3)</x:v>
      </x:c>
    </x:row>
    <x:row r="48" ht="20" customHeight="1">
      <x:c r="A48" s="43" t="str">
        <x:v>api_pods_observed_min</x:v>
      </x:c>
      <x:c r="B48" s="45" t="n">
        <x:v>3</x:v>
      </x:c>
      <x:c r="C48" s="47" t="n">
        <x:v>1</x:v>
      </x:c>
      <x:c r="D48" s="47" t="n">
        <x:v>1</x:v>
      </x:c>
      <x:c r="E48" s="47" t="n">
        <x:v>0</x:v>
      </x:c>
      <x:c r="F48" s="47" t="n">
        <x:v>1</x:v>
      </x:c>
      <x:c r="G48" s="47" t="n">
        <x:v>1</x:v>
      </x:c>
      <x:c r="H48" s="43" t="str">
        <x:v>statistics across the three official run-level values (n=3)</x:v>
      </x:c>
    </x:row>
    <x:row r="49" ht="20" customHeight="1">
      <x:c r="A49" s="43" t="str">
        <x:v>api_pods_observed_max</x:v>
      </x:c>
      <x:c r="B49" s="45" t="n">
        <x:v>3</x:v>
      </x:c>
      <x:c r="C49" s="47" t="n">
        <x:v>5</x:v>
      </x:c>
      <x:c r="D49" s="47" t="n">
        <x:v>5</x:v>
      </x:c>
      <x:c r="E49" s="47" t="n">
        <x:v>0</x:v>
      </x:c>
      <x:c r="F49" s="47" t="n">
        <x:v>5</x:v>
      </x:c>
      <x:c r="G49" s="47" t="n">
        <x:v>5</x:v>
      </x:c>
      <x:c r="H49" s="43" t="str">
        <x:v>statistics across the three official run-level values (n=3)</x:v>
      </x:c>
    </x:row>
    <x:row r="50" ht="20" customHeight="1">
      <x:c r="A50" s="43" t="str">
        <x:v>hpa_desired_replicas_min</x:v>
      </x:c>
      <x:c r="B50" s="45" t="n">
        <x:v>3</x:v>
      </x:c>
      <x:c r="C50" s="47" t="n">
        <x:v>1</x:v>
      </x:c>
      <x:c r="D50" s="47" t="n">
        <x:v>1</x:v>
      </x:c>
      <x:c r="E50" s="47" t="n">
        <x:v>0</x:v>
      </x:c>
      <x:c r="F50" s="47" t="n">
        <x:v>1</x:v>
      </x:c>
      <x:c r="G50" s="47" t="n">
        <x:v>1</x:v>
      </x:c>
      <x:c r="H50" s="43" t="str">
        <x:v>statistics across the three official run-level values (n=3)</x:v>
      </x:c>
    </x:row>
    <x:row r="51" ht="20" customHeight="1">
      <x:c r="A51" s="43" t="str">
        <x:v>hpa_desired_replicas_max</x:v>
      </x:c>
      <x:c r="B51" s="45" t="n">
        <x:v>3</x:v>
      </x:c>
      <x:c r="C51" s="47" t="n">
        <x:v>5</x:v>
      </x:c>
      <x:c r="D51" s="47" t="n">
        <x:v>5</x:v>
      </x:c>
      <x:c r="E51" s="47" t="n">
        <x:v>0</x:v>
      </x:c>
      <x:c r="F51" s="47" t="n">
        <x:v>5</x:v>
      </x:c>
      <x:c r="G51" s="47" t="n">
        <x:v>5</x:v>
      </x:c>
      <x:c r="H51" s="43" t="str">
        <x:v>statistics across the three official run-level values (n=3)</x:v>
      </x:c>
    </x:row>
    <x:row r="52" ht="20" customHeight="1">
      <x:c r="A52" s="43" t="str">
        <x:v>hpa_current_replicas_min</x:v>
      </x:c>
      <x:c r="B52" s="45" t="n">
        <x:v>3</x:v>
      </x:c>
      <x:c r="C52" s="47" t="n">
        <x:v>1</x:v>
      </x:c>
      <x:c r="D52" s="47" t="n">
        <x:v>1</x:v>
      </x:c>
      <x:c r="E52" s="47" t="n">
        <x:v>0</x:v>
      </x:c>
      <x:c r="F52" s="47" t="n">
        <x:v>1</x:v>
      </x:c>
      <x:c r="G52" s="47" t="n">
        <x:v>1</x:v>
      </x:c>
      <x:c r="H52" s="43" t="str">
        <x:v>statistics across the three official run-level values (n=3)</x:v>
      </x:c>
    </x:row>
    <x:row r="53" ht="20" customHeight="1">
      <x:c r="A53" s="43" t="str">
        <x:v>hpa_current_replicas_max</x:v>
      </x:c>
      <x:c r="B53" s="45" t="n">
        <x:v>3</x:v>
      </x:c>
      <x:c r="C53" s="47" t="n">
        <x:v>5</x:v>
      </x:c>
      <x:c r="D53" s="47" t="n">
        <x:v>5</x:v>
      </x:c>
      <x:c r="E53" s="47" t="n">
        <x:v>0</x:v>
      </x:c>
      <x:c r="F53" s="47" t="n">
        <x:v>5</x:v>
      </x:c>
      <x:c r="G53" s="47" t="n">
        <x:v>5</x:v>
      </x:c>
      <x:c r="H53" s="43" t="str">
        <x:v>statistics across the three official run-level values (n=3)</x:v>
      </x:c>
    </x:row>
    <x:row r="54" ht="20" customHeight="1">
      <x:c r="A54" s="43" t="str">
        <x:v>seconds_to_first_scale_request</x:v>
      </x:c>
      <x:c r="B54" s="45" t="n">
        <x:v>3</x:v>
      </x:c>
      <x:c r="C54" s="47" t="n">
        <x:v>41.077</x:v>
      </x:c>
      <x:c r="D54" s="47" t="n">
        <x:v>39.369</x:v>
      </x:c>
      <x:c r="E54" s="47" t="n">
        <x:v>2.978284</x:v>
      </x:c>
      <x:c r="F54" s="47" t="n">
        <x:v>39.346</x:v>
      </x:c>
      <x:c r="G54" s="47" t="n">
        <x:v>44.516</x:v>
      </x:c>
      <x:c r="H54" s="43" t="str">
        <x:v>statistics across the three official run-level values (n=3)</x:v>
      </x:c>
    </x:row>
    <x:row r="55" ht="20" customHeight="1">
      <x:c r="A55" s="43" t="str">
        <x:v>api_restarts</x:v>
      </x:c>
      <x:c r="B55" s="45" t="n">
        <x:v>3</x:v>
      </x:c>
      <x:c r="C55" s="47" t="n">
        <x:v>0</x:v>
      </x:c>
      <x:c r="D55" s="47" t="n">
        <x:v>0</x:v>
      </x:c>
      <x:c r="E55" s="47" t="n">
        <x:v>0</x:v>
      </x:c>
      <x:c r="F55" s="47" t="n">
        <x:v>0</x:v>
      </x:c>
      <x:c r="G55" s="47" t="n">
        <x:v>0</x:v>
      </x:c>
      <x:c r="H55" s="43" t="str">
        <x:v>statistics across the three official run-level values (n=3)</x:v>
      </x:c>
    </x:row>
    <x:row r="56" ht="20" customHeight="1">
      <x:c r="A56" s="43" t="str">
        <x:v>worker_restarts</x:v>
      </x:c>
      <x:c r="B56" s="45" t="n">
        <x:v>3</x:v>
      </x:c>
      <x:c r="C56" s="47" t="n">
        <x:v>0</x:v>
      </x:c>
      <x:c r="D56" s="47" t="n">
        <x:v>0</x:v>
      </x:c>
      <x:c r="E56" s="47" t="n">
        <x:v>0</x:v>
      </x:c>
      <x:c r="F56" s="47" t="n">
        <x:v>0</x:v>
      </x:c>
      <x:c r="G56" s="47" t="n">
        <x:v>0</x:v>
      </x:c>
      <x:c r="H56" s="43" t="str">
        <x:v>statistics across the three official run-level values (n=3)</x:v>
      </x:c>
    </x:row>
    <x:row r="57" ht="20" customHeight="1">
      <x:c r="A57" s="43" t="str">
        <x:v>gateway_restarts</x:v>
      </x:c>
      <x:c r="B57" s="45" t="n">
        <x:v>3</x:v>
      </x:c>
      <x:c r="C57" s="47" t="n">
        <x:v>0.333333</x:v>
      </x:c>
      <x:c r="D57" s="47" t="n">
        <x:v>0</x:v>
      </x:c>
      <x:c r="E57" s="47" t="n">
        <x:v>0.57735</x:v>
      </x:c>
      <x:c r="F57" s="47" t="n">
        <x:v>0</x:v>
      </x:c>
      <x:c r="G57" s="47" t="n">
        <x:v>1</x:v>
      </x:c>
      <x:c r="H57" s="43" t="str">
        <x:v>statistics across the three official run-level values (n=3)</x:v>
      </x:c>
    </x:row>
    <x:row r="58" ht="20" customHeight="1">
      <x:c r="A58" s="43" t="str">
        <x:v>total_restarts</x:v>
      </x:c>
      <x:c r="B58" s="45" t="n">
        <x:v>3</x:v>
      </x:c>
      <x:c r="C58" s="47" t="n">
        <x:v>0.333333</x:v>
      </x:c>
      <x:c r="D58" s="47" t="n">
        <x:v>0</x:v>
      </x:c>
      <x:c r="E58" s="47" t="n">
        <x:v>0.57735</x:v>
      </x:c>
      <x:c r="F58" s="47" t="n">
        <x:v>0</x:v>
      </x:c>
      <x:c r="G58" s="47" t="n">
        <x:v>1</x:v>
      </x:c>
      <x:c r="H58" s="43" t="str">
        <x:v>statistics across the three official run-level values (n=3)</x:v>
      </x:c>
    </x:row>
  </x:sheetData>
  <x:mergeCells>
    <x:mergeCell ref="A5:H5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2" hidden="0" customWidth="1"/>
    <x:col min="4" max="4" width="72" hidden="0" customWidth="1"/>
    <x:col min="5" max="5" width="16" hidden="0" customWidth="1"/>
    <x:col min="6" max="6" width="26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16" hidden="0" customWidth="1"/>
    <x:col min="12" max="12" width="25" hidden="0" customWidth="1"/>
    <x:col min="13" max="13" width="25" hidden="0" customWidth="1"/>
    <x:col min="14" max="14" width="22" hidden="0" customWidth="1"/>
    <x:col min="15" max="15" width="28" hidden="0" customWidth="1"/>
    <x:col min="16" max="16" width="22" hidden="0" customWidth="1"/>
    <x:col min="17" max="17" width="25" hidden="0" customWidth="1"/>
    <x:col min="18" max="18" width="25" hidden="0" customWidth="1"/>
    <x:col min="19" max="19" width="23" hidden="0" customWidth="1"/>
    <x:col min="20" max="20" width="23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8" hidden="0" customWidth="1"/>
    <x:col min="26" max="26" width="28" hidden="0" customWidth="1"/>
    <x:col min="27" max="27" width="24" hidden="0" customWidth="1"/>
    <x:col min="28" max="28" width="23" hidden="0" customWidth="1"/>
    <x:col min="29" max="29" width="19" hidden="0" customWidth="1"/>
    <x:col min="30" max="30" width="18" hidden="0" customWidth="1"/>
    <x:col min="31" max="31" width="14" hidden="0" customWidth="1"/>
    <x:col min="32" max="32" width="18" hidden="0" customWidth="1"/>
    <x:col min="33" max="33" width="17" hidden="0" customWidth="1"/>
    <x:col min="34" max="34" width="16" hidden="0" customWidth="1"/>
  </x:cols>
  <x:sheetData>
    <x:row r="2" ht="24" customHeight="1">
      <x:c r="A2" s="2" t="str">
        <x:v>Combinação HPA + rate limiting</x:v>
      </x:c>
    </x:row>
    <x:row r="3" ht="20" customHeight="1">
      <x:c r="A3" s="4" t="str">
        <x:v>Todas as execuções escalaram a API de 1 para 5 Pods e o gateway protegeu a entrada com respostas 429.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11" t="str">
        <x:v>Proteção de entrada e decisões de escala por execução</x:v>
      </x:c>
      <x:c r="B5" s="12" t="str">
        <x:v>Proteção de entrada e decisões de escala por execução</x:v>
      </x:c>
      <x:c r="C5" s="12" t="str">
        <x:v>Proteção de entrada e decisões de escala por execução</x:v>
      </x:c>
      <x:c r="D5" s="12" t="str">
        <x:v>Proteção de entrada e decisões de escala por execução</x:v>
      </x:c>
      <x:c r="E5" s="12" t="str">
        <x:v>Proteção de entrada e decisões de escala por execução</x:v>
      </x:c>
      <x:c r="F5" s="12" t="str">
        <x:v>Proteção de entrada e decisões de escala por execução</x:v>
      </x:c>
      <x:c r="G5" s="12" t="str">
        <x:v>Proteção de entrada e decisões de escala por execução</x:v>
      </x:c>
      <x:c r="H5" s="13" t="str">
        <x:v>Proteção de entrada e decisões de escala por execução</x:v>
      </x:c>
    </x:row>
    <x:row r="6" ht="48" customHeight="1">
      <x:c r="A6" s="42" t="str">
        <x:v>run_id</x:v>
      </x:c>
      <x:c r="B6" s="42" t="str">
        <x:v>validity</x:v>
      </x:c>
      <x:c r="C6" s="42" t="str">
        <x:v>stability</x:v>
      </x:c>
      <x:c r="D6" s="42" t="str">
        <x:v>methodological_note</x:v>
      </x:c>
      <x:c r="E6" s="42" t="str">
        <x:v>total_received</x:v>
      </x:c>
      <x:c r="F6" s="42" t="str">
        <x:v>classified_http_requests</x:v>
      </x:c>
      <x:c r="G6" s="42" t="str">
        <x:v>total_accepted</x:v>
      </x:c>
      <x:c r="H6" s="42" t="str">
        <x:v>total_rejected_429</x:v>
      </x:c>
      <x:c r="I6" s="42" t="str">
        <x:v>accepted_percent</x:v>
      </x:c>
      <x:c r="J6" s="42" t="str">
        <x:v>rejected_percent</x:v>
      </x:c>
      <x:c r="K6" s="42" t="str">
        <x:v>throughput_rps</x:v>
      </x:c>
      <x:c r="L6" s="42" t="str">
        <x:v>accepted_throughput_rps</x:v>
      </x:c>
      <x:c r="M6" s="42" t="str">
        <x:v>rejected_throughput_rps</x:v>
      </x:c>
      <x:c r="N6" s="42" t="str">
        <x:v>rate_limiting_worked</x:v>
      </x:c>
      <x:c r="O6" s="42" t="str">
        <x:v>rejected_side_effects_absent</x:v>
      </x:c>
      <x:c r="P6" s="42" t="str">
        <x:v>initial_api_replicas</x:v>
      </x:c>
      <x:c r="Q6" s="42" t="str">
        <x:v>configured_min_replicas</x:v>
      </x:c>
      <x:c r="R6" s="42" t="str">
        <x:v>configured_max_replicas</x:v>
      </x:c>
      <x:c r="S6" s="42" t="str">
        <x:v>api_pods_observed_min</x:v>
      </x:c>
      <x:c r="T6" s="42" t="str">
        <x:v>api_pods_observed_max</x:v>
      </x:c>
      <x:c r="U6" s="42" t="str">
        <x:v>hpa_desired_replicas_min</x:v>
      </x:c>
      <x:c r="V6" s="42" t="str">
        <x:v>hpa_desired_replicas_max</x:v>
      </x:c>
      <x:c r="W6" s="42" t="str">
        <x:v>hpa_current_replicas_min</x:v>
      </x:c>
      <x:c r="X6" s="42" t="str">
        <x:v>hpa_current_replicas_max</x:v>
      </x:c>
      <x:c r="Y6" s="42" t="str">
        <x:v>first_scale_request_at</x:v>
      </x:c>
      <x:c r="Z6" s="42" t="str">
        <x:v>seconds_to_first_scale_request</x:v>
      </x:c>
      <x:c r="AA6" s="42" t="str">
        <x:v>target_cpu_utilization</x:v>
      </x:c>
      <x:c r="AB6" s="42" t="str">
        <x:v>rate_limit_per_second</x:v>
      </x:c>
      <x:c r="AC6" s="42" t="str">
        <x:v>rate_limit_window</x:v>
      </x:c>
      <x:c r="AD6" s="42" t="str">
        <x:v>rate_limit_scope</x:v>
      </x:c>
      <x:c r="AE6" s="42" t="str">
        <x:v>api_restarts</x:v>
      </x:c>
      <x:c r="AF6" s="42" t="str">
        <x:v>gateway_restarts</x:v>
      </x:c>
      <x:c r="AG6" s="42" t="str">
        <x:v>worker_restarts</x:v>
      </x:c>
      <x:c r="AH6" s="42" t="str">
        <x:v>total_restarts</x:v>
      </x:c>
    </x:row>
    <x:row r="7" ht="42" customHeight="1">
      <x:c r="A7" s="51" t="str">
        <x:v>c4-run-1</x:v>
      </x:c>
      <x:c r="B7" s="51" t="str">
        <x:v>VALID</x:v>
      </x:c>
      <x:c r="C7" s="51" t="str">
        <x:v>UNSTABLE</x:v>
      </x:c>
      <x:c r="D7" s="69" t="str">
        <x:v>VALID/UNSTABLE: uma reinicializacao do gateway foi observada; a execucao permanece incluida. Escala da API de 1 para 5 Pods.</x:v>
      </x:c>
      <x:c r="E7" s="53" t="n">
        <x:v>1609</x:v>
      </x:c>
      <x:c r="F7" s="53" t="n">
        <x:v>1609</x:v>
      </x:c>
      <x:c r="G7" s="53" t="n">
        <x:v>1519</x:v>
      </x:c>
      <x:c r="H7" s="53" t="n">
        <x:v>90</x:v>
      </x:c>
      <x:c r="I7" s="54" t="n">
        <x:v>94.406</x:v>
      </x:c>
      <x:c r="J7" s="54" t="n">
        <x:v>5.594</x:v>
      </x:c>
      <x:c r="K7" s="55" t="n">
        <x:v>17.878542</x:v>
      </x:c>
      <x:c r="L7" s="55" t="n">
        <x:v>16.878499</x:v>
      </x:c>
      <x:c r="M7" s="55" t="n">
        <x:v>1.000043</x:v>
      </x:c>
      <x:c r="N7" s="52" t="b">
        <x:v>1</x:v>
      </x:c>
      <x:c r="O7" s="52" t="b">
        <x:v>1</x:v>
      </x:c>
      <x:c r="P7" s="53" t="n">
        <x:v>1</x:v>
      </x:c>
      <x:c r="Q7" s="53" t="n">
        <x:v>1</x:v>
      </x:c>
      <x:c r="R7" s="53" t="n">
        <x:v>5</x:v>
      </x:c>
      <x:c r="S7" s="53" t="n">
        <x:v>1</x:v>
      </x:c>
      <x:c r="T7" s="53" t="n">
        <x:v>5</x:v>
      </x:c>
      <x:c r="U7" s="53" t="n">
        <x:v>1</x:v>
      </x:c>
      <x:c r="V7" s="53" t="n">
        <x:v>5</x:v>
      </x:c>
      <x:c r="W7" s="53" t="n">
        <x:v>1</x:v>
      </x:c>
      <x:c r="X7" s="53" t="n">
        <x:v>5</x:v>
      </x:c>
      <x:c r="Y7" s="58" t="str">
        <x:v>2026-09-21T23:44:09.346Z (UTC)</x:v>
      </x:c>
      <x:c r="Z7" s="56" t="n">
        <x:v>39.346</x:v>
      </x:c>
      <x:c r="AA7" s="53" t="n">
        <x:v>70</x:v>
      </x:c>
      <x:c r="AB7" s="53" t="n">
        <x:v>20</x:v>
      </x:c>
      <x:c r="AC7" s="51" t="str">
        <x:v>1s</x:v>
      </x:c>
      <x:c r="AD7" s="51" t="str">
        <x:v>service</x:v>
      </x:c>
      <x:c r="AE7" s="53" t="n">
        <x:v>0</x:v>
      </x:c>
      <x:c r="AF7" s="53" t="n">
        <x:v>1</x:v>
      </x:c>
      <x:c r="AG7" s="53" t="n">
        <x:v>0</x:v>
      </x:c>
      <x:c r="AH7" s="53" t="n">
        <x:v>1</x:v>
      </x:c>
    </x:row>
    <x:row r="8" ht="42" customHeight="1">
      <x:c r="A8" s="61" t="str">
        <x:v>c4-run-2</x:v>
      </x:c>
      <x:c r="B8" s="61" t="str">
        <x:v>VALID</x:v>
      </x:c>
      <x:c r="C8" s="61" t="str">
        <x:v>STABLE</x:v>
      </x:c>
      <x:c r="D8" s="70" t="str">
        <x:v>VALID/STABLE: latencia elevada foi preservada sem exclusao. Escala da API de 1 para 5 Pods.</x:v>
      </x:c>
      <x:c r="E8" s="63" t="n">
        <x:v>1609</x:v>
      </x:c>
      <x:c r="F8" s="63" t="n">
        <x:v>1609</x:v>
      </x:c>
      <x:c r="G8" s="63" t="n">
        <x:v>1518</x:v>
      </x:c>
      <x:c r="H8" s="63" t="n">
        <x:v>91</x:v>
      </x:c>
      <x:c r="I8" s="64" t="n">
        <x:v>94.344</x:v>
      </x:c>
      <x:c r="J8" s="64" t="n">
        <x:v>5.656</x:v>
      </x:c>
      <x:c r="K8" s="65" t="n">
        <x:v>17.878546</x:v>
      </x:c>
      <x:c r="L8" s="65" t="n">
        <x:v>16.867391</x:v>
      </x:c>
      <x:c r="M8" s="65" t="n">
        <x:v>1.011155</x:v>
      </x:c>
      <x:c r="N8" s="62" t="b">
        <x:v>1</x:v>
      </x:c>
      <x:c r="O8" s="62" t="b">
        <x:v>1</x:v>
      </x:c>
      <x:c r="P8" s="63" t="n">
        <x:v>1</x:v>
      </x:c>
      <x:c r="Q8" s="63" t="n">
        <x:v>1</x:v>
      </x:c>
      <x:c r="R8" s="63" t="n">
        <x:v>5</x:v>
      </x:c>
      <x:c r="S8" s="63" t="n">
        <x:v>1</x:v>
      </x:c>
      <x:c r="T8" s="63" t="n">
        <x:v>5</x:v>
      </x:c>
      <x:c r="U8" s="63" t="n">
        <x:v>1</x:v>
      </x:c>
      <x:c r="V8" s="63" t="n">
        <x:v>5</x:v>
      </x:c>
      <x:c r="W8" s="63" t="n">
        <x:v>1</x:v>
      </x:c>
      <x:c r="X8" s="63" t="n">
        <x:v>5</x:v>
      </x:c>
      <x:c r="Y8" s="68" t="str">
        <x:v>2026-09-21T23:54:28.516Z (UTC)</x:v>
      </x:c>
      <x:c r="Z8" s="66" t="n">
        <x:v>44.516</x:v>
      </x:c>
      <x:c r="AA8" s="63" t="n">
        <x:v>70</x:v>
      </x:c>
      <x:c r="AB8" s="63" t="n">
        <x:v>20</x:v>
      </x:c>
      <x:c r="AC8" s="61" t="str">
        <x:v>1s</x:v>
      </x:c>
      <x:c r="AD8" s="61" t="str">
        <x:v>service</x:v>
      </x:c>
      <x:c r="AE8" s="63" t="n">
        <x:v>0</x:v>
      </x:c>
      <x:c r="AF8" s="63" t="n">
        <x:v>0</x:v>
      </x:c>
      <x:c r="AG8" s="63" t="n">
        <x:v>0</x:v>
      </x:c>
      <x:c r="AH8" s="63" t="n">
        <x:v>0</x:v>
      </x:c>
    </x:row>
    <x:row r="9" ht="42" customHeight="1">
      <x:c r="A9" s="43" t="str">
        <x:v>c4-run-3</x:v>
      </x:c>
      <x:c r="B9" s="43" t="str">
        <x:v>VALID</x:v>
      </x:c>
      <x:c r="C9" s="43" t="str">
        <x:v>STABLE</x:v>
      </x:c>
      <x:c r="D9" s="71" t="str">
        <x:v>VALID/STABLE. Escala da API de 1 para 5 Pods.</x:v>
      </x:c>
      <x:c r="E9" s="45" t="n">
        <x:v>1609</x:v>
      </x:c>
      <x:c r="F9" s="45" t="n">
        <x:v>1609</x:v>
      </x:c>
      <x:c r="G9" s="45" t="n">
        <x:v>1518</x:v>
      </x:c>
      <x:c r="H9" s="45" t="n">
        <x:v>91</x:v>
      </x:c>
      <x:c r="I9" s="46" t="n">
        <x:v>94.344</x:v>
      </x:c>
      <x:c r="J9" s="46" t="n">
        <x:v>5.656</x:v>
      </x:c>
      <x:c r="K9" s="47" t="n">
        <x:v>17.878692</x:v>
      </x:c>
      <x:c r="L9" s="47" t="n">
        <x:v>16.867529</x:v>
      </x:c>
      <x:c r="M9" s="47" t="n">
        <x:v>1.011163</x:v>
      </x:c>
      <x:c r="N9" s="44" t="b">
        <x:v>1</x:v>
      </x:c>
      <x:c r="O9" s="44" t="b">
        <x:v>1</x:v>
      </x:c>
      <x:c r="P9" s="45" t="n">
        <x:v>1</x:v>
      </x:c>
      <x:c r="Q9" s="45" t="n">
        <x:v>1</x:v>
      </x:c>
      <x:c r="R9" s="45" t="n">
        <x:v>5</x:v>
      </x:c>
      <x:c r="S9" s="45" t="n">
        <x:v>1</x:v>
      </x:c>
      <x:c r="T9" s="45" t="n">
        <x:v>5</x:v>
      </x:c>
      <x:c r="U9" s="45" t="n">
        <x:v>1</x:v>
      </x:c>
      <x:c r="V9" s="45" t="n">
        <x:v>5</x:v>
      </x:c>
      <x:c r="W9" s="45" t="n">
        <x:v>1</x:v>
      </x:c>
      <x:c r="X9" s="45" t="n">
        <x:v>5</x:v>
      </x:c>
      <x:c r="Y9" s="50" t="str">
        <x:v>2026-09-22T00:06:42.369Z (UTC)</x:v>
      </x:c>
      <x:c r="Z9" s="48" t="n">
        <x:v>39.369</x:v>
      </x:c>
      <x:c r="AA9" s="45" t="n">
        <x:v>70</x:v>
      </x:c>
      <x:c r="AB9" s="45" t="n">
        <x:v>20</x:v>
      </x:c>
      <x:c r="AC9" s="43" t="str">
        <x:v>1s</x:v>
      </x:c>
      <x:c r="AD9" s="43" t="str">
        <x:v>service</x:v>
      </x:c>
      <x:c r="AE9" s="45" t="n">
        <x:v>0</x:v>
      </x:c>
      <x:c r="AF9" s="45" t="n">
        <x:v>0</x:v>
      </x:c>
      <x:c r="AG9" s="45" t="n">
        <x:v>0</x:v>
      </x:c>
      <x:c r="AH9" s="45" t="n">
        <x:v>0</x:v>
      </x:c>
    </x:row>
    <x:row r="13">
      <x:c r="A13" s="75" t="str">
        <x:v>Indicador calculado</x:v>
      </x:c>
      <x:c r="B13" s="75" t="str">
        <x:v>Valor</x:v>
      </x:c>
    </x:row>
    <x:row r="14">
      <x:c r="A14" s="7" t="str">
        <x:v>Requisições recebidas</x:v>
      </x:c>
      <x:c r="B14" t="n">
        <x:f>SUM(E7:E9)</x:f>
        <x:v>4827</x:v>
      </x:c>
    </x:row>
    <x:row r="15">
      <x:c r="A15" s="7" t="str">
        <x:v>Aceitas (2xx)</x:v>
      </x:c>
      <x:c r="B15" t="n">
        <x:f>SUM(G7:G9)</x:f>
        <x:v>4555</x:v>
      </x:c>
    </x:row>
    <x:row r="16">
      <x:c r="A16" s="7" t="str">
        <x:v>Rejeitadas (429)</x:v>
      </x:c>
      <x:c r="B16" t="n">
        <x:f>SUM(H7:H9)</x:f>
        <x:v>272</x:v>
      </x:c>
    </x:row>
    <x:row r="17">
      <x:c r="A17" s="7" t="str">
        <x:v>Máximo de Pods observado</x:v>
      </x:c>
      <x:c r="B17" t="n">
        <x:f>MAX(T7:T9)</x:f>
        <x:v>5</x:v>
      </x:c>
    </x:row>
    <x:row r="18">
      <x:c r="A18" s="7" t="str">
        <x:v>Máximo desejado pelo HPA</x:v>
      </x:c>
      <x:c r="B18" t="n">
        <x:f>MAX(V7:V9)</x:f>
        <x:v>5</x:v>
      </x:c>
    </x:row>
  </x:sheetData>
  <x:mergeCells>
    <x:mergeCell ref="A5:H5"/>
  </x:mergeCells>
  <x:pageMargins left="0.7" right="0.7" top="0.75" bottom="0.75" header="0.3" footer="0.3"/>
  <x:drawing xmlns:r="http://schemas.openxmlformats.org/officeDocument/2006/relationships" r:id="rId1"/>
  <x:tableParts count="1">
    <x:tablePart xmlns:r="http://schemas.openxmlformats.org/officeDocument/2006/relationships" r:id="rId2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1" workbookViewId="0"/>
  </x:sheetViews>
  <x:sheetFormatPr defaultRowHeight="15"/>
  <x:cols>
    <x:col min="1" max="1" width="30" hidden="0" customWidth="1"/>
    <x:col min="2" max="2" width="110" hidden="0" customWidth="1"/>
  </x:cols>
  <x:sheetData>
    <x:row r="2" ht="24" customHeight="1">
      <x:c r="A2" s="2" t="str">
        <x:v>Metodologia da consolidação do C4</x:v>
      </x:c>
    </x:row>
    <x:row r="3" ht="20" customHeight="1">
      <x:c r="A3" s="4" t="str">
        <x:v>Registro de inclusão, anomalias preservadas, estatística e garantias de reprodutibilidade.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78" t="str">
        <x:v>Tópico</x:v>
      </x:c>
      <x:c r="B5" s="78" t="str">
        <x:v>Registro metodológico</x:v>
      </x:c>
    </x:row>
    <x:row r="6" ht="48" customHeight="1">
      <x:c r="A6" s="84" t="str">
        <x:v>Escopo</x:v>
      </x:c>
      <x:c r="B6" s="94" t="str">
        <x:v>Os tres ensaios oficiais do C4 sao VALID e integram todos os agregados descritivos com n=3.</x:v>
      </x:c>
    </x:row>
    <x:row r="7" ht="48" customHeight="1">
      <x:c r="A7" s="85" t="str">
        <x:v>c4-run-1</x:v>
      </x:c>
      <x:c r="B7" s="95" t="str">
        <x:v>VALID/UNSTABLE: uma reinicializacao do gateway foi preservada e nao motivou exclusao.</x:v>
      </x:c>
    </x:row>
    <x:row r="8" ht="48" customHeight="1">
      <x:c r="A8" s="85" t="str">
        <x:v>c4-run-2</x:v>
      </x:c>
      <x:c r="B8" s="95" t="str">
        <x:v>VALID/STABLE: a latencia elevada foi preservada e nao motivou exclusao.</x:v>
      </x:c>
    </x:row>
    <x:row r="9" ht="48" customHeight="1">
      <x:c r="A9" s="85" t="str">
        <x:v>c4-run-3</x:v>
      </x:c>
      <x:c r="B9" s="95" t="str">
        <x:v>VALID/STABLE, sem reinicializacoes.</x:v>
      </x:c>
    </x:row>
    <x:row r="10" ht="48" customHeight="1">
      <x:c r="A10" s="85" t="str">
        <x:v>Escala</x:v>
      </x:c>
      <x:c r="B10" s="95" t="str">
        <x:v>A API escalou de 1 para 5 Pods nas tres execucoes; replicas desejadas e observadas foram reconciliadas com as amostras do HPA.</x:v>
      </x:c>
    </x:row>
    <x:row r="11" ht="48" customHeight="1">
      <x:c r="A11" s="85" t="str">
        <x:v>Rate limiting</x:v>
      </x:c>
      <x:c r="B11" s="95" t="str">
        <x:v>O Kong aplicou limite global de 20 requisicoes por segundo por servico e produziu respostas 429 sem efeitos colaterais no banco.</x:v>
      </x:c>
    </x:row>
    <x:row r="12" ht="48" customHeight="1">
      <x:c r="A12" s="85" t="str">
        <x:v>Percentis</x:v>
      </x:c>
      <x:c r="B12" s="95" t="str">
        <x:v>p95 e p99 agregados resumem os tres percentis de execucao; amostras brutas nunca foram combinadas.</x:v>
      </x:c>
    </x:row>
    <x:row r="13" ht="48" customHeight="1">
      <x:c r="A13" s="85" t="str">
        <x:v>Estatisticas</x:v>
      </x:c>
      <x:c r="B13" s="95" t="str">
        <x:v>Media, mediana, desvio-padrao amostral, minimo e maximo usam exatamente n=3.</x:v>
      </x:c>
    </x:row>
    <x:row r="14" ht="48" customHeight="1">
      <x:c r="A14" s="85" t="str">
        <x:v>Imutabilidade</x:v>
      </x:c>
      <x:c r="B14" s="95" t="str">
        <x:v>Os resultados brutos sao entradas somente leitura e seu hash de arvore e verificado antes e depois da consolidacao.</x:v>
      </x:c>
    </x:row>
    <x:row r="15" ht="48" customHeight="1">
      <x:c r="A15" s="86" t="str">
        <x:v>Reproducibilidade</x:v>
      </x:c>
      <x:c r="B15" s="96" t="str">
        <x:v>Duas geracoes independentes de cada CSV e do XLSX devem ser identicas byte a byte antes da publicacao.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28" hidden="0" customWidth="1"/>
  </x:cols>
  <x:sheetData>
    <x:row r="2" ht="24" customHeight="1">
      <x:c r="A2" s="2" t="str">
        <x:v>Validações da consolidação do C4</x:v>
      </x:c>
    </x:row>
    <x:row r="3" ht="20" customHeight="1">
      <x:c r="A3" s="4" t="str">
        <x:v>A publicação ocorre somente quando todas as verificações terminam com sucesso.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11" t="str">
        <x:v>Matriz de validação executada</x:v>
      </x:c>
      <x:c r="B5" s="12" t="str">
        <x:v>Matriz de validação executada</x:v>
      </x:c>
      <x:c r="C5" s="13" t="str">
        <x:v>Matriz de validação executada</x:v>
      </x:c>
    </x:row>
    <x:row r="6" ht="48" customHeight="1">
      <x:c r="A6" s="42" t="str">
        <x:v>validation</x:v>
      </x:c>
      <x:c r="B6" s="42" t="str">
        <x:v>result</x:v>
      </x:c>
      <x:c r="C6" s="42" t="str">
        <x:v>scope</x:v>
      </x:c>
    </x:row>
    <x:row r="7" ht="20" customHeight="1">
      <x:c r="A7" s="43" t="str">
        <x:v>Artefatos obrigatorios</x:v>
      </x:c>
      <x:c r="B7" s="99" t="str">
        <x:v>PASS</x:v>
      </x:c>
      <x:c r="C7" s="43" t="str">
        <x:v>3 execucoes</x:v>
      </x:c>
    </x:row>
    <x:row r="8" ht="20" customHeight="1">
      <x:c r="A8" s="43" t="str">
        <x:v>Invariantes de classificacao HTTP</x:v>
      </x:c>
      <x:c r="B8" s="99" t="str">
        <x:v>PASS</x:v>
      </x:c>
      <x:c r="C8" s="43" t="str">
        <x:v>geral e 12 estagios</x:v>
      </x:c>
    </x:row>
    <x:row r="9" ht="20" customHeight="1">
      <x:c r="A9" s="43" t="str">
        <x:v>Respostas 2xx versus pedidos no banco</x:v>
      </x:c>
      <x:c r="B9" s="99" t="str">
        <x:v>PASS</x:v>
      </x:c>
      <x:c r="C9" s="43" t="str">
        <x:v>3 execucoes</x:v>
      </x:c>
    </x:row>
    <x:row r="10" ht="20" customHeight="1">
      <x:c r="A10" s="43" t="str">
        <x:v>Ausencia de efeitos colaterais dos 429</x:v>
      </x:c>
      <x:c r="B10" s="99" t="str">
        <x:v>PASS</x:v>
      </x:c>
      <x:c r="C10" s="43" t="str">
        <x:v>3 execucoes</x:v>
      </x:c>
    </x:row>
    <x:row r="11" ht="20" customHeight="1">
      <x:c r="A11" s="43" t="str">
        <x:v>Totais por estagio versus totais gerais</x:v>
      </x:c>
      <x:c r="B11" s="99" t="str">
        <x:v>PASS</x:v>
      </x:c>
      <x:c r="C11" s="43" t="str">
        <x:v>9 metricas aditivas</x:v>
      </x:c>
    </x:row>
    <x:row r="12" ht="20" customHeight="1">
      <x:c r="A12" s="43" t="str">
        <x:v>Configuracoes congeladas</x:v>
      </x:c>
      <x:c r="B12" s="99" t="str">
        <x:v>PASS</x:v>
      </x:c>
      <x:c r="C12" s="43" t="str">
        <x:v>carga, imagens, HPA e gateway</x:v>
      </x:c>
    </x:row>
    <x:row r="13" ht="20" customHeight="1">
      <x:c r="A13" s="43" t="str">
        <x:v>Escala de 1 para 5 Pods</x:v>
      </x:c>
      <x:c r="B13" s="99" t="str">
        <x:v>PASS</x:v>
      </x:c>
      <x:c r="C13" s="43" t="str">
        <x:v>3 execucoes</x:v>
      </x:c>
    </x:row>
    <x:row r="14" ht="20" customHeight="1">
      <x:c r="A14" s="43" t="str">
        <x:v>Reproducao deterministica</x:v>
      </x:c>
      <x:c r="B14" s="99" t="str">
        <x:v>PASS</x:v>
      </x:c>
      <x:c r="C14" s="43" t="str">
        <x:v>2 geracoes byte a byte</x:v>
      </x:c>
    </x:row>
    <x:row r="15" ht="20" customHeight="1">
      <x:c r="A15" s="43" t="str">
        <x:v>XLSX: estrutura, tabelas, formulas e valores</x:v>
      </x:c>
      <x:c r="B15" s="99" t="str">
        <x:v>PASS</x:v>
      </x:c>
      <x:c r="C15" s="43" t="str">
        <x:v>6 abas</x:v>
      </x:c>
    </x:row>
    <x:row r="16" ht="20" customHeight="1">
      <x:c r="A16" s="43" t="str">
        <x:v>XLSX: renderizacao</x:v>
      </x:c>
      <x:c r="B16" s="99" t="str">
        <x:v>PASS</x:v>
      </x:c>
      <x:c r="C16" s="43" t="str">
        <x:v>todas as abas</x:v>
      </x:c>
    </x:row>
    <x:row r="17" ht="20" customHeight="1">
      <x:c r="A17" s="43" t="str">
        <x:v>Resultados brutos inalterados</x:v>
      </x:c>
      <x:c r="B17" s="99" t="str">
        <x:v>PASS</x:v>
      </x:c>
      <x:c r="C17" s="43" t="str">
        <x:v>hash SHA-256 da arvore</x:v>
      </x:c>
    </x:row>
  </x:sheetData>
  <x:mergeCells>
    <x:mergeCell ref="A5:C5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