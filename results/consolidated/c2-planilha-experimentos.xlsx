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dev\projeto_tcc\flash-sale-api\results\consolidated\"/>
    </mc:Choice>
  </mc:AlternateContent>
  <xr:revisionPtr revIDLastSave="0" documentId="8_{77BDB7CD-A06E-4841-86F1-BBA6B268B56D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Resumo C2" sheetId="1" r:id="rId1"/>
    <sheet name="Resultados por estágio" sheetId="2" r:id="rId2"/>
    <sheet name="Comportamento HPA" sheetId="3" r:id="rId3"/>
    <sheet name="Comparação C1 x C2" sheetId="4" r:id="rId4"/>
    <sheet name="Metodologia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43" i="4" l="1"/>
  <c r="M42" i="4"/>
  <c r="M39" i="4"/>
  <c r="M38" i="4"/>
  <c r="M37" i="4"/>
  <c r="I22" i="4"/>
  <c r="F22" i="4"/>
  <c r="I21" i="4"/>
  <c r="F21" i="4"/>
  <c r="I20" i="4"/>
  <c r="F20" i="4"/>
  <c r="I19" i="4"/>
  <c r="F19" i="4"/>
  <c r="I18" i="4"/>
  <c r="F18" i="4"/>
  <c r="M41" i="4" s="1"/>
  <c r="I17" i="4"/>
  <c r="F17" i="4"/>
  <c r="I16" i="4"/>
  <c r="F16" i="4"/>
  <c r="I15" i="4"/>
  <c r="F15" i="4"/>
  <c r="M40" i="4" s="1"/>
  <c r="I14" i="4"/>
  <c r="F14" i="4"/>
  <c r="I13" i="4"/>
  <c r="F13" i="4"/>
  <c r="I12" i="4"/>
  <c r="F12" i="4"/>
  <c r="I11" i="4"/>
  <c r="F11" i="4"/>
  <c r="I10" i="4"/>
  <c r="F10" i="4"/>
  <c r="I9" i="4"/>
  <c r="F9" i="4"/>
  <c r="I8" i="4"/>
  <c r="F8" i="4"/>
  <c r="M36" i="4" s="1"/>
  <c r="I7" i="4"/>
  <c r="F7" i="4"/>
  <c r="M35" i="4" s="1"/>
</calcChain>
</file>

<file path=xl/sharedStrings.xml><?xml version="1.0" encoding="utf-8"?>
<sst xmlns="http://schemas.openxmlformats.org/spreadsheetml/2006/main" count="416" uniqueCount="209">
  <si>
    <t>Resumo dos ensaios oficiais do C2</t>
  </si>
  <si>
    <t>Três repetições com HPA ativo. Os resultados completos e as estatísticas são preservados sem excluir outliers.</t>
  </si>
  <si>
    <t>c2-run-2: VALID / UNSTABLE. A execução permaneceu válida para comparação e registrou uma reinicialização de API/worker sob carga.</t>
  </si>
  <si>
    <t>Resultados das três execuções oficiais</t>
  </si>
  <si>
    <t>run_id</t>
  </si>
  <si>
    <t>validity</t>
  </si>
  <si>
    <t>stability</t>
  </si>
  <si>
    <t>requests_started</t>
  </si>
  <si>
    <t>responses_2xx</t>
  </si>
  <si>
    <t>responses_5xx</t>
  </si>
  <si>
    <t>connection_errors</t>
  </si>
  <si>
    <t>unexpected_failures</t>
  </si>
  <si>
    <t>unexpected_failures_percent</t>
  </si>
  <si>
    <t>dropped_iterations</t>
  </si>
  <si>
    <t>dropped_iterations_percent</t>
  </si>
  <si>
    <t>throughput_rps</t>
  </si>
  <si>
    <t>accepted_throughput_rps</t>
  </si>
  <si>
    <t>latency_average_ms</t>
  </si>
  <si>
    <t>latency_p95_ms</t>
  </si>
  <si>
    <t>latency_p99_ms</t>
  </si>
  <si>
    <t>response_2xx_average_ms</t>
  </si>
  <si>
    <t>response_2xx_p95_ms</t>
  </si>
  <si>
    <t>response_2xx_p99_ms</t>
  </si>
  <si>
    <t>orders_created</t>
  </si>
  <si>
    <t>orders_completed</t>
  </si>
  <si>
    <t>orders_pending</t>
  </si>
  <si>
    <t>orders_failed</t>
  </si>
  <si>
    <t>completion_rate_percent</t>
  </si>
  <si>
    <t>order_processing_p95_ms</t>
  </si>
  <si>
    <t>order_processing_p99_ms</t>
  </si>
  <si>
    <t>drain_duration_seconds</t>
  </si>
  <si>
    <t>drain_completed</t>
  </si>
  <si>
    <t>drain_objective_met</t>
  </si>
  <si>
    <t>restarts</t>
  </si>
  <si>
    <t>api_peak_cpu_cores</t>
  </si>
  <si>
    <t>api_peak_memory_mib</t>
  </si>
  <si>
    <t>max_backlog</t>
  </si>
  <si>
    <t>app_cpu_seconds_load</t>
  </si>
  <si>
    <t>app_memory_mib_minutes_load</t>
  </si>
  <si>
    <t>app_cpu_seconds_per_1000_completed_orders</t>
  </si>
  <si>
    <t>app_memory_mib_minutes_per_1000_completed_orders</t>
  </si>
  <si>
    <t>c2-run-1</t>
  </si>
  <si>
    <t>VALID</t>
  </si>
  <si>
    <t>STABLE</t>
  </si>
  <si>
    <t>c2-run-2</t>
  </si>
  <si>
    <t>UNSTABLE</t>
  </si>
  <si>
    <t>c2-run-3</t>
  </si>
  <si>
    <t>Estatísticas consolidadas</t>
  </si>
  <si>
    <t>metric</t>
  </si>
  <si>
    <t>mean</t>
  </si>
  <si>
    <t>median</t>
  </si>
  <si>
    <t>sample_stddev</t>
  </si>
  <si>
    <t>minimum</t>
  </si>
  <si>
    <t>maximum</t>
  </si>
  <si>
    <t>aggregation_method</t>
  </si>
  <si>
    <t>statistics across the three official run-level values</t>
  </si>
  <si>
    <t>run-level percentiles; raw samples were not pooled</t>
  </si>
  <si>
    <t>initial_api_replicas</t>
  </si>
  <si>
    <t>configured_min_replicas</t>
  </si>
  <si>
    <t>configured_max_replicas</t>
  </si>
  <si>
    <t>api_pods_observed_min</t>
  </si>
  <si>
    <t>api_pods_observed_max</t>
  </si>
  <si>
    <t>hpa_desired_replicas_min</t>
  </si>
  <si>
    <t>hpa_desired_replicas_max</t>
  </si>
  <si>
    <t>seconds_from_load_start_to_first_scale_request</t>
  </si>
  <si>
    <t>seconds_from_load_start_to_multiple_api_pods</t>
  </si>
  <si>
    <t>target_cpu_utilization</t>
  </si>
  <si>
    <t>scale_up_stabilization_seconds</t>
  </si>
  <si>
    <t>scale_down_stabilization_seconds</t>
  </si>
  <si>
    <t>Resultados do C2 por estágio de carga</t>
  </si>
  <si>
    <t>As doze linhas correspondem aos quatro estágios de cada uma das três execuções oficiais.</t>
  </si>
  <si>
    <t>Métricas por estágio</t>
  </si>
  <si>
    <t>stage</t>
  </si>
  <si>
    <t>target_rps</t>
  </si>
  <si>
    <t>duration_seconds</t>
  </si>
  <si>
    <t>stage_1</t>
  </si>
  <si>
    <t>stage_2</t>
  </si>
  <si>
    <t>stage_3</t>
  </si>
  <si>
    <t>stage_4</t>
  </si>
  <si>
    <t>Comportamento do HPA nas execuções oficiais</t>
  </si>
  <si>
    <t>O eixo temporal é relativo ao início da carga. Valores negativos representam a coleta ociosa anterior ao k6.</t>
  </si>
  <si>
    <t>Série temporal usada no gráfico</t>
  </si>
  <si>
    <t>Segundos desde início da carga</t>
  </si>
  <si>
    <t>Atual c2-run-1</t>
  </si>
  <si>
    <t>Desejada c2-run-1</t>
  </si>
  <si>
    <t>Atual c2-run-2</t>
  </si>
  <si>
    <t>Desejada c2-run-2</t>
  </si>
  <si>
    <t>Atual c2-run-3</t>
  </si>
  <si>
    <t>Desejada c2-run-3</t>
  </si>
  <si>
    <t>Síntese por execução</t>
  </si>
  <si>
    <t>Execução</t>
  </si>
  <si>
    <t>Inicial</t>
  </si>
  <si>
    <t>Pods mín. observados</t>
  </si>
  <si>
    <t>Pods máx. observados</t>
  </si>
  <si>
    <t>Desejadas mín.</t>
  </si>
  <si>
    <t>Desejadas máx.</t>
  </si>
  <si>
    <t>1ª solicitação (s)</t>
  </si>
  <si>
    <t>Múltiplos Pods (s)</t>
  </si>
  <si>
    <t>CPU alvo</t>
  </si>
  <si>
    <t>Instante da 1ª solicitação</t>
  </si>
  <si>
    <t>Instante de múltiplos Pods</t>
  </si>
  <si>
    <t>UTC 2026-09-17T17:30:36.386Z</t>
  </si>
  <si>
    <t>UTC 2026-09-17T17:42:22.192Z</t>
  </si>
  <si>
    <t>UTC 2026-09-17T17:54:39.258Z</t>
  </si>
  <si>
    <t>Configuração comum</t>
  </si>
  <si>
    <t>Parâmetro</t>
  </si>
  <si>
    <t>Valor</t>
  </si>
  <si>
    <t>Nome</t>
  </si>
  <si>
    <t>api-hpa</t>
  </si>
  <si>
    <t>Alvo</t>
  </si>
  <si>
    <t>Deployment/api</t>
  </si>
  <si>
    <t>Réplicas mínimas</t>
  </si>
  <si>
    <t>Réplicas máximas</t>
  </si>
  <si>
    <t>Alvo de CPU</t>
  </si>
  <si>
    <t>Scale-up</t>
  </si>
  <si>
    <t>0 s de estabilização; seleção Max; 4 Pods/15 s; 400%/15 s</t>
  </si>
  <si>
    <t>Scale-down</t>
  </si>
  <si>
    <t>120 s de estabilização; seleção Min; 1 Pod/60 s</t>
  </si>
  <si>
    <t>Comparação dos cenários C1 e C2</t>
  </si>
  <si>
    <t>Somente métricas metodologicamente equivalentes. Os três ensaios de cada cenário e o c2-run-2 permanecem na análise.</t>
  </si>
  <si>
    <t>Métricas comparáveis</t>
  </si>
  <si>
    <t>Categoria</t>
  </si>
  <si>
    <t>Métrica</t>
  </si>
  <si>
    <t>Unidade</t>
  </si>
  <si>
    <t>Média C1</t>
  </si>
  <si>
    <t>Média C2</t>
  </si>
  <si>
    <t>Variação da média</t>
  </si>
  <si>
    <t>Mediana C1</t>
  </si>
  <si>
    <t>Mediana C2</t>
  </si>
  <si>
    <t>Variação da mediana</t>
  </si>
  <si>
    <t>Leitura</t>
  </si>
  <si>
    <t>Capacidade</t>
  </si>
  <si>
    <t>Throughput total</t>
  </si>
  <si>
    <t>req/s</t>
  </si>
  <si>
    <t>Maior indica mais requisições iniciadas por segundo</t>
  </si>
  <si>
    <t>Throughput aceito</t>
  </si>
  <si>
    <t>Maior indica mais respostas 2xx por segundo</t>
  </si>
  <si>
    <t>Falhas</t>
  </si>
  <si>
    <t>Falhas inesperadas</t>
  </si>
  <si>
    <t>ocorrências</t>
  </si>
  <si>
    <t>Menor é melhor</t>
  </si>
  <si>
    <t>% das requisições</t>
  </si>
  <si>
    <t>Latência geral</t>
  </si>
  <si>
    <t>Latência geral p95</t>
  </si>
  <si>
    <t>ms</t>
  </si>
  <si>
    <t>Latência geral p99</t>
  </si>
  <si>
    <t>Latência 2xx</t>
  </si>
  <si>
    <t>Latência das respostas 2xx p95</t>
  </si>
  <si>
    <t>Latência das respostas 2xx p99</t>
  </si>
  <si>
    <t>Processamento</t>
  </si>
  <si>
    <t>Pedidos concluídos</t>
  </si>
  <si>
    <t>pedidos</t>
  </si>
  <si>
    <t>Maior é melhor</t>
  </si>
  <si>
    <t>Processamento dos pedidos p95</t>
  </si>
  <si>
    <t>Processamento dos pedidos p99</t>
  </si>
  <si>
    <t>Recuperação</t>
  </si>
  <si>
    <t>Drenagem</t>
  </si>
  <si>
    <t>s</t>
  </si>
  <si>
    <t>Estabilidade</t>
  </si>
  <si>
    <t>Reinícios</t>
  </si>
  <si>
    <t>reinícios</t>
  </si>
  <si>
    <t>Custo normalizado</t>
  </si>
  <si>
    <t>CPU por mil pedidos</t>
  </si>
  <si>
    <t>CPU-s/1.000 pedidos</t>
  </si>
  <si>
    <t>Menor consumo é melhor</t>
  </si>
  <si>
    <t>Memória por mil pedidos</t>
  </si>
  <si>
    <t>MiB-min/1.000 pedidos</t>
  </si>
  <si>
    <t>Execuções estáveis</t>
  </si>
  <si>
    <t>% das execuções</t>
  </si>
  <si>
    <t>Maior é melhor; C1: 0/3, C2: 2/3</t>
  </si>
  <si>
    <t>Leitura da variação</t>
  </si>
  <si>
    <t>A variação é (C2 ÷ C1) − 1. Valores positivos indicam aumento; a coluna ‘Leitura’ informa se aumentar ou reduzir é desejável para cada métrica.</t>
  </si>
  <si>
    <t>Percentis</t>
  </si>
  <si>
    <t>As médias e medianas de p95/p99 resumem os percentis das três execuções. As amostras brutas não foram combinadas.</t>
  </si>
  <si>
    <t>Outliers</t>
  </si>
  <si>
    <t>Nenhuma execução foi removida. O c2-run-2 permanece nos valores médios, medianos, extremos e desvios.</t>
  </si>
  <si>
    <t>Variação média</t>
  </si>
  <si>
    <t>Throughput</t>
  </si>
  <si>
    <t>Throughput 2xx</t>
  </si>
  <si>
    <t>Latência p95</t>
  </si>
  <si>
    <t>Latência 2xx p95</t>
  </si>
  <si>
    <t>Pedidos</t>
  </si>
  <si>
    <t>CPU/1.000</t>
  </si>
  <si>
    <t>Memória/1.000</t>
  </si>
  <si>
    <t>Metodologia da consolidação e da comparação</t>
  </si>
  <si>
    <t>Registro do desenho experimental, das estatísticas e dos limites de interpretação do C2.</t>
  </si>
  <si>
    <t>Tópico</t>
  </si>
  <si>
    <t>Registro metodológico</t>
  </si>
  <si>
    <t>Repetições oficiais</t>
  </si>
  <si>
    <t>C1 e C2 possuem três repetições oficiais independentes. Cada execução é a unidade usada nas estatísticas consolidadas.</t>
  </si>
  <si>
    <t>Carga oficial</t>
  </si>
  <si>
    <t>C1 e C2 usaram a mesma carga: ramping-arrival-rate, taxa inicial de 1 req/s e estágios 20 req/s por 20 s, 22 req/s por 30 s, 22 req/s por 30 s e 0 req/s por 10 s.</t>
  </si>
  <si>
    <t>Variável principal</t>
  </si>
  <si>
    <t>C1 manteve uma réplica fixa da API. C2 habilitou o HPA da API com mínimo 1, máximo 5 e alvo de CPU de 70%.</t>
  </si>
  <si>
    <t>Estatísticas</t>
  </si>
  <si>
    <t>Média, mediana, desvio-padrão amostral, mínimo e máximo são calculados sobre os três valores observados por cenário.</t>
  </si>
  <si>
    <t>Os percentis p95 e p99 são calculados em cada execução. A consolidação resume os três percentis individuais e não combina amostras brutas entre execuções.</t>
  </si>
  <si>
    <t>Validade</t>
  </si>
  <si>
    <t>VALID indica que o protocolo terminou com os artefatos obrigatórios e as verificações de execução aprovadas. Validade não significa ausência de saturação.</t>
  </si>
  <si>
    <t>STABLE/UNSTABLE descreve sinais operacionais como reinicializações e drenagem. Uma execução pode ser VALID e UNSTABLE.</t>
  </si>
  <si>
    <t>O c2-run-2 é VALID / UNSTABLE porque registrou uma reinicialização de API/worker sob carga. Ele permanece em todas as estatísticas e comparações.</t>
  </si>
  <si>
    <t>Comparação</t>
  </si>
  <si>
    <t>A comparação C1 x C2 usa somente métricas presentes nos dois cenários. A variação percentual é calculada por (C2 ÷ C1) − 1 quando o valor de C1 é diferente de zero.</t>
  </si>
  <si>
    <t>Série temporal HPA</t>
  </si>
  <si>
    <t>O gráfico usa a amostragem do HPA em intervalos de 5 s. O tempo é normalizado pelo início da carga; valores negativos mostram a coleta ociosa anterior ao k6.</t>
  </si>
  <si>
    <t>Fontes consolidadas</t>
  </si>
  <si>
    <t>results/consolidated/c1-summary.csv, c1-aggregate-summary.csv, c2-summary.csv, c2-stage-summary.csv, c2-hpa-summary.csv e c2-aggregate-summary.csv.</t>
  </si>
  <si>
    <t>Fonte temporal</t>
  </si>
  <si>
    <t>results/experiments/c2/official/c2-run-{1,2,3}/metrics/hpa-samples.csv, preservados sem alteração.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</si>
</sst>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"/>
    <numFmt numFmtId="165" formatCode="0.000000"/>
    <numFmt numFmtId="166" formatCode="0.000000000"/>
    <numFmt numFmtId="167" formatCode="0.00000"/>
    <numFmt numFmtId="168" formatCode="0.0"/>
    <numFmt numFmtId="169" formatCode="\+0.0%;\-0.0%;0.0%"/>
    <numFmt numFmtId="170" formatCode="#,##0.0"/>
    <numFmt numFmtId="171" formatCode="0.0%"/>
  </numFmts>
  <fonts count="7">
    <font>
      <sz val="11"/>
      <name val="Carlito"/>
    </font>
    <font>
      <b/>
      <sz val="14"/>
      <color rgb="FF17365D"/>
      <name val="Arial"/>
    </font>
    <font>
      <i/>
      <sz val="10"/>
      <color rgb="FF404040"/>
      <name val="Arial"/>
    </font>
    <font>
      <b/>
      <sz val="10"/>
      <color rgb="FF9C0006"/>
      <name val="Arial"/>
    </font>
    <font>
      <b/>
      <sz val="10"/>
      <color rgb="FF17365D"/>
      <name val="Arial"/>
    </font>
    <font>
      <sz val="10"/>
      <color rgb="FF404040"/>
      <name val="Arial"/>
    </font>
    <font>
      <b/>
      <sz val="10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4B183"/>
      </patternFill>
    </fill>
    <fill>
      <patternFill patternType="solid">
        <fgColor rgb="FFEAF3F8"/>
      </patternFill>
    </fill>
  </fills>
  <borders count="14">
    <border>
      <left/>
      <right/>
      <top/>
      <bottom/>
      <diagonal/>
    </border>
    <border>
      <left/>
      <right/>
      <top/>
      <bottom style="thin">
        <color rgb="FF17365D"/>
      </bottom>
      <diagonal/>
    </border>
    <border>
      <left style="thin">
        <color rgb="FFF4B183"/>
      </left>
      <right/>
      <top style="thin">
        <color rgb="FFF4B183"/>
      </top>
      <bottom/>
      <diagonal/>
    </border>
    <border>
      <left/>
      <right/>
      <top style="thin">
        <color rgb="FFF4B183"/>
      </top>
      <bottom/>
      <diagonal/>
    </border>
    <border>
      <left/>
      <right style="thin">
        <color rgb="FFF4B183"/>
      </right>
      <top style="thin">
        <color rgb="FFF4B183"/>
      </top>
      <bottom/>
      <diagonal/>
    </border>
    <border>
      <left style="thin">
        <color rgb="FFF4B183"/>
      </left>
      <right/>
      <top/>
      <bottom style="thin">
        <color rgb="FFF4B183"/>
      </bottom>
      <diagonal/>
    </border>
    <border>
      <left/>
      <right/>
      <top/>
      <bottom style="thin">
        <color rgb="FFF4B183"/>
      </bottom>
      <diagonal/>
    </border>
    <border>
      <left/>
      <right style="thin">
        <color rgb="FFF4B183"/>
      </right>
      <top/>
      <bottom style="thin">
        <color rgb="FFF4B183"/>
      </bottom>
      <diagonal/>
    </border>
    <border>
      <left style="thin">
        <color rgb="FFB4C7E7"/>
      </left>
      <right/>
      <top style="thin">
        <color rgb="FFB4C7E7"/>
      </top>
      <bottom style="thin">
        <color rgb="FFB4C7E7"/>
      </bottom>
      <diagonal/>
    </border>
    <border>
      <left/>
      <right/>
      <top style="thin">
        <color rgb="FFB4C7E7"/>
      </top>
      <bottom style="thin">
        <color rgb="FFB4C7E7"/>
      </bottom>
      <diagonal/>
    </border>
    <border>
      <left/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B4C7E7"/>
      </bottom>
      <diagonal/>
    </border>
    <border>
      <left/>
      <right/>
      <top style="thin">
        <color rgb="FFB4C7E7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0" fillId="0" borderId="1" xfId="0" applyNumberFormat="1" applyFont="1" applyFill="1" applyBorder="1"/>
    <xf numFmtId="0" fontId="4" fillId="3" borderId="0" xfId="0" applyNumberFormat="1" applyFont="1" applyFill="1" applyBorder="1"/>
    <xf numFmtId="0" fontId="6" fillId="4" borderId="11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Border="1" applyAlignment="1">
      <alignment vertical="center"/>
    </xf>
    <xf numFmtId="1" fontId="5" fillId="0" borderId="0" xfId="0" applyNumberFormat="1" applyFont="1" applyFill="1" applyBorder="1" applyAlignment="1">
      <alignment vertical="center"/>
    </xf>
    <xf numFmtId="164" fontId="5" fillId="0" borderId="0" xfId="0" applyNumberFormat="1" applyFont="1" applyFill="1" applyBorder="1" applyAlignment="1">
      <alignment vertical="center"/>
    </xf>
    <xf numFmtId="165" fontId="5" fillId="0" borderId="0" xfId="0" applyNumberFormat="1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6" fontId="5" fillId="0" borderId="0" xfId="0" applyNumberFormat="1" applyFont="1" applyFill="1" applyBorder="1" applyAlignment="1">
      <alignment vertical="center"/>
    </xf>
    <xf numFmtId="2" fontId="5" fillId="0" borderId="0" xfId="0" applyNumberFormat="1" applyFont="1" applyFill="1" applyBorder="1" applyAlignment="1">
      <alignment vertical="center"/>
    </xf>
    <xf numFmtId="167" fontId="5" fillId="0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1" fontId="5" fillId="2" borderId="0" xfId="0" applyNumberFormat="1" applyFont="1" applyFill="1" applyBorder="1" applyAlignment="1">
      <alignment vertical="center"/>
    </xf>
    <xf numFmtId="164" fontId="5" fillId="2" borderId="0" xfId="0" applyNumberFormat="1" applyFont="1" applyFill="1" applyBorder="1" applyAlignment="1">
      <alignment vertical="center"/>
    </xf>
    <xf numFmtId="165" fontId="5" fillId="2" borderId="0" xfId="0" applyNumberFormat="1" applyFont="1" applyFill="1" applyBorder="1" applyAlignment="1">
      <alignment vertical="center"/>
    </xf>
    <xf numFmtId="2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6" fontId="5" fillId="2" borderId="0" xfId="0" applyNumberFormat="1" applyFont="1" applyFill="1" applyBorder="1" applyAlignment="1">
      <alignment vertical="center"/>
    </xf>
    <xf numFmtId="0" fontId="3" fillId="5" borderId="0" xfId="0" applyNumberFormat="1" applyFont="1" applyFill="1" applyBorder="1" applyAlignment="1">
      <alignment vertical="center"/>
    </xf>
    <xf numFmtId="168" fontId="5" fillId="0" borderId="0" xfId="0" applyNumberFormat="1" applyFont="1" applyFill="1" applyBorder="1" applyAlignment="1">
      <alignment vertical="center"/>
    </xf>
    <xf numFmtId="9" fontId="5" fillId="0" borderId="0" xfId="0" applyNumberFormat="1" applyFont="1" applyFill="1" applyBorder="1" applyAlignment="1">
      <alignment vertical="center"/>
    </xf>
    <xf numFmtId="169" fontId="5" fillId="0" borderId="0" xfId="0" applyNumberFormat="1" applyFont="1" applyFill="1" applyBorder="1" applyAlignment="1">
      <alignment vertical="center"/>
    </xf>
    <xf numFmtId="170" fontId="5" fillId="0" borderId="0" xfId="0" applyNumberFormat="1" applyFont="1" applyFill="1" applyBorder="1" applyAlignment="1">
      <alignment vertical="center"/>
    </xf>
    <xf numFmtId="0" fontId="5" fillId="6" borderId="0" xfId="0" applyNumberFormat="1" applyFont="1" applyFill="1" applyBorder="1" applyAlignment="1">
      <alignment vertical="center"/>
    </xf>
    <xf numFmtId="171" fontId="5" fillId="6" borderId="0" xfId="0" applyNumberFormat="1" applyFont="1" applyFill="1" applyBorder="1" applyAlignment="1">
      <alignment vertical="center"/>
    </xf>
    <xf numFmtId="169" fontId="5" fillId="6" borderId="0" xfId="0" applyNumberFormat="1" applyFont="1" applyFill="1" applyBorder="1" applyAlignment="1">
      <alignment vertical="center"/>
    </xf>
    <xf numFmtId="0" fontId="4" fillId="3" borderId="12" xfId="0" applyNumberFormat="1" applyFont="1" applyFill="1" applyBorder="1" applyAlignment="1">
      <alignment vertical="center" wrapText="1"/>
    </xf>
    <xf numFmtId="0" fontId="4" fillId="3" borderId="9" xfId="0" applyNumberFormat="1" applyFont="1" applyFill="1" applyBorder="1" applyAlignment="1">
      <alignment vertical="center" wrapText="1"/>
    </xf>
    <xf numFmtId="0" fontId="4" fillId="3" borderId="13" xfId="0" applyNumberFormat="1" applyFont="1" applyFill="1" applyBorder="1" applyAlignment="1">
      <alignment vertical="center" wrapText="1"/>
    </xf>
    <xf numFmtId="0" fontId="5" fillId="0" borderId="12" xfId="0" applyNumberFormat="1" applyFont="1" applyFill="1" applyBorder="1" applyAlignment="1">
      <alignment vertical="center" wrapText="1"/>
    </xf>
    <xf numFmtId="0" fontId="5" fillId="0" borderId="9" xfId="0" applyNumberFormat="1" applyFont="1" applyFill="1" applyBorder="1" applyAlignment="1">
      <alignment vertical="center" wrapText="1"/>
    </xf>
    <xf numFmtId="0" fontId="5" fillId="0" borderId="13" xfId="0" applyNumberFormat="1" applyFont="1" applyFill="1" applyBorder="1" applyAlignment="1">
      <alignment vertical="center" wrapText="1"/>
    </xf>
    <xf numFmtId="0" fontId="3" fillId="2" borderId="2" xfId="0" applyNumberFormat="1" applyFont="1" applyFill="1" applyBorder="1" applyAlignment="1">
      <alignment vertical="center" wrapText="1"/>
    </xf>
    <xf numFmtId="0" fontId="3" fillId="2" borderId="3" xfId="0" applyNumberFormat="1" applyFont="1" applyFill="1" applyBorder="1" applyAlignment="1">
      <alignment vertical="center" wrapText="1"/>
    </xf>
    <xf numFmtId="0" fontId="3" fillId="2" borderId="4" xfId="0" applyNumberFormat="1" applyFont="1" applyFill="1" applyBorder="1" applyAlignment="1">
      <alignment vertical="center" wrapText="1"/>
    </xf>
    <xf numFmtId="0" fontId="3" fillId="2" borderId="5" xfId="0" applyNumberFormat="1" applyFont="1" applyFill="1" applyBorder="1" applyAlignment="1">
      <alignment vertical="center" wrapText="1"/>
    </xf>
    <xf numFmtId="0" fontId="3" fillId="2" borderId="6" xfId="0" applyNumberFormat="1" applyFont="1" applyFill="1" applyBorder="1" applyAlignment="1">
      <alignment vertical="center" wrapText="1"/>
    </xf>
    <xf numFmtId="0" fontId="3" fillId="2" borderId="7" xfId="0" applyNumberFormat="1" applyFont="1" applyFill="1" applyBorder="1" applyAlignment="1">
      <alignment vertical="center" wrapText="1"/>
    </xf>
    <xf numFmtId="0" fontId="4" fillId="3" borderId="8" xfId="0" applyNumberFormat="1" applyFont="1" applyFill="1" applyBorder="1" applyAlignment="1">
      <alignment vertical="center"/>
    </xf>
    <xf numFmtId="0" fontId="4" fillId="3" borderId="9" xfId="0" applyNumberFormat="1" applyFont="1" applyFill="1" applyBorder="1" applyAlignment="1">
      <alignment vertical="center"/>
    </xf>
    <xf numFmtId="0" fontId="4" fillId="3" borderId="10" xfId="0" applyNumberFormat="1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 sz="900">
                <a:latin typeface="Arial"/>
                <a:ea typeface="Arial"/>
                <a:cs typeface="Arial"/>
              </a:rPr>
              <a:t>Réplicas da API e réplicas desejadas pelo HPA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>
              <a:solidFill>
                <a:srgbClr val="5B9BD5"/>
              </a:solidFill>
              <a:prstDash val="solid"/>
            </a:ln>
          </c:spPr>
          <c:marker>
            <c:symbol val="none"/>
          </c:marker>
          <c:cat>
            <c:numRef>
              <c:f>'Comportamento HPA'!$P$5:$P$54</c:f>
              <c:numCache>
                <c:formatCode>0</c:formatCode>
                <c:ptCount val="50"/>
                <c:pt idx="0">
                  <c:v>-60</c:v>
                </c:pt>
                <c:pt idx="1">
                  <c:v>-55</c:v>
                </c:pt>
                <c:pt idx="2">
                  <c:v>-50</c:v>
                </c:pt>
                <c:pt idx="3">
                  <c:v>-45</c:v>
                </c:pt>
                <c:pt idx="4">
                  <c:v>-40</c:v>
                </c:pt>
                <c:pt idx="5">
                  <c:v>-35</c:v>
                </c:pt>
                <c:pt idx="6">
                  <c:v>-30</c:v>
                </c:pt>
                <c:pt idx="7">
                  <c:v>-25</c:v>
                </c:pt>
                <c:pt idx="8">
                  <c:v>-20</c:v>
                </c:pt>
                <c:pt idx="9">
                  <c:v>-15</c:v>
                </c:pt>
                <c:pt idx="10">
                  <c:v>-10</c:v>
                </c:pt>
                <c:pt idx="11">
                  <c:v>-5</c:v>
                </c:pt>
                <c:pt idx="12">
                  <c:v>0</c:v>
                </c:pt>
                <c:pt idx="13">
                  <c:v>5</c:v>
                </c:pt>
                <c:pt idx="14">
                  <c:v>10</c:v>
                </c:pt>
                <c:pt idx="15">
                  <c:v>15</c:v>
                </c:pt>
                <c:pt idx="16">
                  <c:v>20</c:v>
                </c:pt>
                <c:pt idx="17">
                  <c:v>25</c:v>
                </c:pt>
                <c:pt idx="18">
                  <c:v>30</c:v>
                </c:pt>
                <c:pt idx="19">
                  <c:v>35</c:v>
                </c:pt>
                <c:pt idx="20">
                  <c:v>40</c:v>
                </c:pt>
                <c:pt idx="21">
                  <c:v>45</c:v>
                </c:pt>
                <c:pt idx="22">
                  <c:v>50</c:v>
                </c:pt>
                <c:pt idx="23">
                  <c:v>55</c:v>
                </c:pt>
                <c:pt idx="24">
                  <c:v>60</c:v>
                </c:pt>
                <c:pt idx="25">
                  <c:v>65</c:v>
                </c:pt>
                <c:pt idx="26">
                  <c:v>70</c:v>
                </c:pt>
                <c:pt idx="27">
                  <c:v>75</c:v>
                </c:pt>
                <c:pt idx="28">
                  <c:v>80</c:v>
                </c:pt>
                <c:pt idx="29">
                  <c:v>85</c:v>
                </c:pt>
                <c:pt idx="30">
                  <c:v>90</c:v>
                </c:pt>
                <c:pt idx="31">
                  <c:v>95</c:v>
                </c:pt>
                <c:pt idx="32">
                  <c:v>100</c:v>
                </c:pt>
                <c:pt idx="33">
                  <c:v>105</c:v>
                </c:pt>
                <c:pt idx="34">
                  <c:v>110</c:v>
                </c:pt>
                <c:pt idx="35">
                  <c:v>115</c:v>
                </c:pt>
                <c:pt idx="36">
                  <c:v>120</c:v>
                </c:pt>
                <c:pt idx="37">
                  <c:v>125</c:v>
                </c:pt>
                <c:pt idx="38">
                  <c:v>130</c:v>
                </c:pt>
                <c:pt idx="39">
                  <c:v>135</c:v>
                </c:pt>
                <c:pt idx="40">
                  <c:v>140</c:v>
                </c:pt>
                <c:pt idx="41">
                  <c:v>145</c:v>
                </c:pt>
                <c:pt idx="42">
                  <c:v>150</c:v>
                </c:pt>
                <c:pt idx="43">
                  <c:v>155</c:v>
                </c:pt>
                <c:pt idx="44">
                  <c:v>160</c:v>
                </c:pt>
                <c:pt idx="45">
                  <c:v>165</c:v>
                </c:pt>
                <c:pt idx="46">
                  <c:v>170</c:v>
                </c:pt>
                <c:pt idx="47">
                  <c:v>175</c:v>
                </c:pt>
                <c:pt idx="48">
                  <c:v>180</c:v>
                </c:pt>
                <c:pt idx="49">
                  <c:v>185</c:v>
                </c:pt>
              </c:numCache>
            </c:numRef>
          </c:cat>
          <c:val>
            <c:numRef>
              <c:f>'Comportamento HPA'!$Q$5:$Q$54</c:f>
              <c:numCache>
                <c:formatCode>0</c:formatCode>
                <c:ptCount val="50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2B-487F-A38E-974E2578A858}"/>
            </c:ext>
          </c:extLst>
        </c:ser>
        <c:ser>
          <c:idx val="1"/>
          <c:order val="1"/>
          <c:spPr>
            <a:ln w="14288">
              <a:solidFill>
                <a:srgbClr val="2F5597"/>
              </a:solidFill>
              <a:prstDash val="dash"/>
            </a:ln>
          </c:spPr>
          <c:marker>
            <c:symbol val="none"/>
          </c:marker>
          <c:cat>
            <c:numRef>
              <c:f>'Comportamento HPA'!$P$5:$P$54</c:f>
              <c:numCache>
                <c:formatCode>0</c:formatCode>
                <c:ptCount val="50"/>
                <c:pt idx="0">
                  <c:v>-60</c:v>
                </c:pt>
                <c:pt idx="1">
                  <c:v>-55</c:v>
                </c:pt>
                <c:pt idx="2">
                  <c:v>-50</c:v>
                </c:pt>
                <c:pt idx="3">
                  <c:v>-45</c:v>
                </c:pt>
                <c:pt idx="4">
                  <c:v>-40</c:v>
                </c:pt>
                <c:pt idx="5">
                  <c:v>-35</c:v>
                </c:pt>
                <c:pt idx="6">
                  <c:v>-30</c:v>
                </c:pt>
                <c:pt idx="7">
                  <c:v>-25</c:v>
                </c:pt>
                <c:pt idx="8">
                  <c:v>-20</c:v>
                </c:pt>
                <c:pt idx="9">
                  <c:v>-15</c:v>
                </c:pt>
                <c:pt idx="10">
                  <c:v>-10</c:v>
                </c:pt>
                <c:pt idx="11">
                  <c:v>-5</c:v>
                </c:pt>
                <c:pt idx="12">
                  <c:v>0</c:v>
                </c:pt>
                <c:pt idx="13">
                  <c:v>5</c:v>
                </c:pt>
                <c:pt idx="14">
                  <c:v>10</c:v>
                </c:pt>
                <c:pt idx="15">
                  <c:v>15</c:v>
                </c:pt>
                <c:pt idx="16">
                  <c:v>20</c:v>
                </c:pt>
                <c:pt idx="17">
                  <c:v>25</c:v>
                </c:pt>
                <c:pt idx="18">
                  <c:v>30</c:v>
                </c:pt>
                <c:pt idx="19">
                  <c:v>35</c:v>
                </c:pt>
                <c:pt idx="20">
                  <c:v>40</c:v>
                </c:pt>
                <c:pt idx="21">
                  <c:v>45</c:v>
                </c:pt>
                <c:pt idx="22">
                  <c:v>50</c:v>
                </c:pt>
                <c:pt idx="23">
                  <c:v>55</c:v>
                </c:pt>
                <c:pt idx="24">
                  <c:v>60</c:v>
                </c:pt>
                <c:pt idx="25">
                  <c:v>65</c:v>
                </c:pt>
                <c:pt idx="26">
                  <c:v>70</c:v>
                </c:pt>
                <c:pt idx="27">
                  <c:v>75</c:v>
                </c:pt>
                <c:pt idx="28">
                  <c:v>80</c:v>
                </c:pt>
                <c:pt idx="29">
                  <c:v>85</c:v>
                </c:pt>
                <c:pt idx="30">
                  <c:v>90</c:v>
                </c:pt>
                <c:pt idx="31">
                  <c:v>95</c:v>
                </c:pt>
                <c:pt idx="32">
                  <c:v>100</c:v>
                </c:pt>
                <c:pt idx="33">
                  <c:v>105</c:v>
                </c:pt>
                <c:pt idx="34">
                  <c:v>110</c:v>
                </c:pt>
                <c:pt idx="35">
                  <c:v>115</c:v>
                </c:pt>
                <c:pt idx="36">
                  <c:v>120</c:v>
                </c:pt>
                <c:pt idx="37">
                  <c:v>125</c:v>
                </c:pt>
                <c:pt idx="38">
                  <c:v>130</c:v>
                </c:pt>
                <c:pt idx="39">
                  <c:v>135</c:v>
                </c:pt>
                <c:pt idx="40">
                  <c:v>140</c:v>
                </c:pt>
                <c:pt idx="41">
                  <c:v>145</c:v>
                </c:pt>
                <c:pt idx="42">
                  <c:v>150</c:v>
                </c:pt>
                <c:pt idx="43">
                  <c:v>155</c:v>
                </c:pt>
                <c:pt idx="44">
                  <c:v>160</c:v>
                </c:pt>
                <c:pt idx="45">
                  <c:v>165</c:v>
                </c:pt>
                <c:pt idx="46">
                  <c:v>170</c:v>
                </c:pt>
                <c:pt idx="47">
                  <c:v>175</c:v>
                </c:pt>
                <c:pt idx="48">
                  <c:v>180</c:v>
                </c:pt>
                <c:pt idx="49">
                  <c:v>185</c:v>
                </c:pt>
              </c:numCache>
            </c:numRef>
          </c:cat>
          <c:val>
            <c:numRef>
              <c:f>'Comportamento HPA'!$R$5:$R$54</c:f>
              <c:numCache>
                <c:formatCode>0</c:formatCode>
                <c:ptCount val="5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2B-487F-A38E-974E2578A858}"/>
            </c:ext>
          </c:extLst>
        </c:ser>
        <c:ser>
          <c:idx val="2"/>
          <c:order val="2"/>
          <c:spPr>
            <a:ln w="19050">
              <a:solidFill>
                <a:srgbClr val="ED7D31"/>
              </a:solidFill>
              <a:prstDash val="solid"/>
            </a:ln>
          </c:spPr>
          <c:marker>
            <c:symbol val="none"/>
          </c:marker>
          <c:cat>
            <c:numRef>
              <c:f>'Comportamento HPA'!$P$5:$P$54</c:f>
              <c:numCache>
                <c:formatCode>0</c:formatCode>
                <c:ptCount val="50"/>
                <c:pt idx="0">
                  <c:v>-60</c:v>
                </c:pt>
                <c:pt idx="1">
                  <c:v>-55</c:v>
                </c:pt>
                <c:pt idx="2">
                  <c:v>-50</c:v>
                </c:pt>
                <c:pt idx="3">
                  <c:v>-45</c:v>
                </c:pt>
                <c:pt idx="4">
                  <c:v>-40</c:v>
                </c:pt>
                <c:pt idx="5">
                  <c:v>-35</c:v>
                </c:pt>
                <c:pt idx="6">
                  <c:v>-30</c:v>
                </c:pt>
                <c:pt idx="7">
                  <c:v>-25</c:v>
                </c:pt>
                <c:pt idx="8">
                  <c:v>-20</c:v>
                </c:pt>
                <c:pt idx="9">
                  <c:v>-15</c:v>
                </c:pt>
                <c:pt idx="10">
                  <c:v>-10</c:v>
                </c:pt>
                <c:pt idx="11">
                  <c:v>-5</c:v>
                </c:pt>
                <c:pt idx="12">
                  <c:v>0</c:v>
                </c:pt>
                <c:pt idx="13">
                  <c:v>5</c:v>
                </c:pt>
                <c:pt idx="14">
                  <c:v>10</c:v>
                </c:pt>
                <c:pt idx="15">
                  <c:v>15</c:v>
                </c:pt>
                <c:pt idx="16">
                  <c:v>20</c:v>
                </c:pt>
                <c:pt idx="17">
                  <c:v>25</c:v>
                </c:pt>
                <c:pt idx="18">
                  <c:v>30</c:v>
                </c:pt>
                <c:pt idx="19">
                  <c:v>35</c:v>
                </c:pt>
                <c:pt idx="20">
                  <c:v>40</c:v>
                </c:pt>
                <c:pt idx="21">
                  <c:v>45</c:v>
                </c:pt>
                <c:pt idx="22">
                  <c:v>50</c:v>
                </c:pt>
                <c:pt idx="23">
                  <c:v>55</c:v>
                </c:pt>
                <c:pt idx="24">
                  <c:v>60</c:v>
                </c:pt>
                <c:pt idx="25">
                  <c:v>65</c:v>
                </c:pt>
                <c:pt idx="26">
                  <c:v>70</c:v>
                </c:pt>
                <c:pt idx="27">
                  <c:v>75</c:v>
                </c:pt>
                <c:pt idx="28">
                  <c:v>80</c:v>
                </c:pt>
                <c:pt idx="29">
                  <c:v>85</c:v>
                </c:pt>
                <c:pt idx="30">
                  <c:v>90</c:v>
                </c:pt>
                <c:pt idx="31">
                  <c:v>95</c:v>
                </c:pt>
                <c:pt idx="32">
                  <c:v>100</c:v>
                </c:pt>
                <c:pt idx="33">
                  <c:v>105</c:v>
                </c:pt>
                <c:pt idx="34">
                  <c:v>110</c:v>
                </c:pt>
                <c:pt idx="35">
                  <c:v>115</c:v>
                </c:pt>
                <c:pt idx="36">
                  <c:v>120</c:v>
                </c:pt>
                <c:pt idx="37">
                  <c:v>125</c:v>
                </c:pt>
                <c:pt idx="38">
                  <c:v>130</c:v>
                </c:pt>
                <c:pt idx="39">
                  <c:v>135</c:v>
                </c:pt>
                <c:pt idx="40">
                  <c:v>140</c:v>
                </c:pt>
                <c:pt idx="41">
                  <c:v>145</c:v>
                </c:pt>
                <c:pt idx="42">
                  <c:v>150</c:v>
                </c:pt>
                <c:pt idx="43">
                  <c:v>155</c:v>
                </c:pt>
                <c:pt idx="44">
                  <c:v>160</c:v>
                </c:pt>
                <c:pt idx="45">
                  <c:v>165</c:v>
                </c:pt>
                <c:pt idx="46">
                  <c:v>170</c:v>
                </c:pt>
                <c:pt idx="47">
                  <c:v>175</c:v>
                </c:pt>
                <c:pt idx="48">
                  <c:v>180</c:v>
                </c:pt>
                <c:pt idx="49">
                  <c:v>185</c:v>
                </c:pt>
              </c:numCache>
            </c:numRef>
          </c:cat>
          <c:val>
            <c:numRef>
              <c:f>'Comportamento HPA'!$S$5:$S$54</c:f>
              <c:numCache>
                <c:formatCode>0</c:formatCode>
                <c:ptCount val="50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2B-487F-A38E-974E2578A858}"/>
            </c:ext>
          </c:extLst>
        </c:ser>
        <c:ser>
          <c:idx val="3"/>
          <c:order val="3"/>
          <c:spPr>
            <a:ln w="14288">
              <a:solidFill>
                <a:srgbClr val="C55A11"/>
              </a:solidFill>
              <a:prstDash val="dash"/>
            </a:ln>
          </c:spPr>
          <c:marker>
            <c:symbol val="none"/>
          </c:marker>
          <c:cat>
            <c:numRef>
              <c:f>'Comportamento HPA'!$P$5:$P$54</c:f>
              <c:numCache>
                <c:formatCode>0</c:formatCode>
                <c:ptCount val="50"/>
                <c:pt idx="0">
                  <c:v>-60</c:v>
                </c:pt>
                <c:pt idx="1">
                  <c:v>-55</c:v>
                </c:pt>
                <c:pt idx="2">
                  <c:v>-50</c:v>
                </c:pt>
                <c:pt idx="3">
                  <c:v>-45</c:v>
                </c:pt>
                <c:pt idx="4">
                  <c:v>-40</c:v>
                </c:pt>
                <c:pt idx="5">
                  <c:v>-35</c:v>
                </c:pt>
                <c:pt idx="6">
                  <c:v>-30</c:v>
                </c:pt>
                <c:pt idx="7">
                  <c:v>-25</c:v>
                </c:pt>
                <c:pt idx="8">
                  <c:v>-20</c:v>
                </c:pt>
                <c:pt idx="9">
                  <c:v>-15</c:v>
                </c:pt>
                <c:pt idx="10">
                  <c:v>-10</c:v>
                </c:pt>
                <c:pt idx="11">
                  <c:v>-5</c:v>
                </c:pt>
                <c:pt idx="12">
                  <c:v>0</c:v>
                </c:pt>
                <c:pt idx="13">
                  <c:v>5</c:v>
                </c:pt>
                <c:pt idx="14">
                  <c:v>10</c:v>
                </c:pt>
                <c:pt idx="15">
                  <c:v>15</c:v>
                </c:pt>
                <c:pt idx="16">
                  <c:v>20</c:v>
                </c:pt>
                <c:pt idx="17">
                  <c:v>25</c:v>
                </c:pt>
                <c:pt idx="18">
                  <c:v>30</c:v>
                </c:pt>
                <c:pt idx="19">
                  <c:v>35</c:v>
                </c:pt>
                <c:pt idx="20">
                  <c:v>40</c:v>
                </c:pt>
                <c:pt idx="21">
                  <c:v>45</c:v>
                </c:pt>
                <c:pt idx="22">
                  <c:v>50</c:v>
                </c:pt>
                <c:pt idx="23">
                  <c:v>55</c:v>
                </c:pt>
                <c:pt idx="24">
                  <c:v>60</c:v>
                </c:pt>
                <c:pt idx="25">
                  <c:v>65</c:v>
                </c:pt>
                <c:pt idx="26">
                  <c:v>70</c:v>
                </c:pt>
                <c:pt idx="27">
                  <c:v>75</c:v>
                </c:pt>
                <c:pt idx="28">
                  <c:v>80</c:v>
                </c:pt>
                <c:pt idx="29">
                  <c:v>85</c:v>
                </c:pt>
                <c:pt idx="30">
                  <c:v>90</c:v>
                </c:pt>
                <c:pt idx="31">
                  <c:v>95</c:v>
                </c:pt>
                <c:pt idx="32">
                  <c:v>100</c:v>
                </c:pt>
                <c:pt idx="33">
                  <c:v>105</c:v>
                </c:pt>
                <c:pt idx="34">
                  <c:v>110</c:v>
                </c:pt>
                <c:pt idx="35">
                  <c:v>115</c:v>
                </c:pt>
                <c:pt idx="36">
                  <c:v>120</c:v>
                </c:pt>
                <c:pt idx="37">
                  <c:v>125</c:v>
                </c:pt>
                <c:pt idx="38">
                  <c:v>130</c:v>
                </c:pt>
                <c:pt idx="39">
                  <c:v>135</c:v>
                </c:pt>
                <c:pt idx="40">
                  <c:v>140</c:v>
                </c:pt>
                <c:pt idx="41">
                  <c:v>145</c:v>
                </c:pt>
                <c:pt idx="42">
                  <c:v>150</c:v>
                </c:pt>
                <c:pt idx="43">
                  <c:v>155</c:v>
                </c:pt>
                <c:pt idx="44">
                  <c:v>160</c:v>
                </c:pt>
                <c:pt idx="45">
                  <c:v>165</c:v>
                </c:pt>
                <c:pt idx="46">
                  <c:v>170</c:v>
                </c:pt>
                <c:pt idx="47">
                  <c:v>175</c:v>
                </c:pt>
                <c:pt idx="48">
                  <c:v>180</c:v>
                </c:pt>
                <c:pt idx="49">
                  <c:v>185</c:v>
                </c:pt>
              </c:numCache>
            </c:numRef>
          </c:cat>
          <c:val>
            <c:numRef>
              <c:f>'Comportamento HPA'!$T$5:$T$54</c:f>
              <c:numCache>
                <c:formatCode>0</c:formatCode>
                <c:ptCount val="5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2B-487F-A38E-974E2578A858}"/>
            </c:ext>
          </c:extLst>
        </c:ser>
        <c:ser>
          <c:idx val="4"/>
          <c:order val="4"/>
          <c:spPr>
            <a:ln w="19050">
              <a:solidFill>
                <a:srgbClr val="70AD47"/>
              </a:solidFill>
              <a:prstDash val="solid"/>
            </a:ln>
          </c:spPr>
          <c:marker>
            <c:symbol val="none"/>
          </c:marker>
          <c:cat>
            <c:numRef>
              <c:f>'Comportamento HPA'!$P$5:$P$54</c:f>
              <c:numCache>
                <c:formatCode>0</c:formatCode>
                <c:ptCount val="50"/>
                <c:pt idx="0">
                  <c:v>-60</c:v>
                </c:pt>
                <c:pt idx="1">
                  <c:v>-55</c:v>
                </c:pt>
                <c:pt idx="2">
                  <c:v>-50</c:v>
                </c:pt>
                <c:pt idx="3">
                  <c:v>-45</c:v>
                </c:pt>
                <c:pt idx="4">
                  <c:v>-40</c:v>
                </c:pt>
                <c:pt idx="5">
                  <c:v>-35</c:v>
                </c:pt>
                <c:pt idx="6">
                  <c:v>-30</c:v>
                </c:pt>
                <c:pt idx="7">
                  <c:v>-25</c:v>
                </c:pt>
                <c:pt idx="8">
                  <c:v>-20</c:v>
                </c:pt>
                <c:pt idx="9">
                  <c:v>-15</c:v>
                </c:pt>
                <c:pt idx="10">
                  <c:v>-10</c:v>
                </c:pt>
                <c:pt idx="11">
                  <c:v>-5</c:v>
                </c:pt>
                <c:pt idx="12">
                  <c:v>0</c:v>
                </c:pt>
                <c:pt idx="13">
                  <c:v>5</c:v>
                </c:pt>
                <c:pt idx="14">
                  <c:v>10</c:v>
                </c:pt>
                <c:pt idx="15">
                  <c:v>15</c:v>
                </c:pt>
                <c:pt idx="16">
                  <c:v>20</c:v>
                </c:pt>
                <c:pt idx="17">
                  <c:v>25</c:v>
                </c:pt>
                <c:pt idx="18">
                  <c:v>30</c:v>
                </c:pt>
                <c:pt idx="19">
                  <c:v>35</c:v>
                </c:pt>
                <c:pt idx="20">
                  <c:v>40</c:v>
                </c:pt>
                <c:pt idx="21">
                  <c:v>45</c:v>
                </c:pt>
                <c:pt idx="22">
                  <c:v>50</c:v>
                </c:pt>
                <c:pt idx="23">
                  <c:v>55</c:v>
                </c:pt>
                <c:pt idx="24">
                  <c:v>60</c:v>
                </c:pt>
                <c:pt idx="25">
                  <c:v>65</c:v>
                </c:pt>
                <c:pt idx="26">
                  <c:v>70</c:v>
                </c:pt>
                <c:pt idx="27">
                  <c:v>75</c:v>
                </c:pt>
                <c:pt idx="28">
                  <c:v>80</c:v>
                </c:pt>
                <c:pt idx="29">
                  <c:v>85</c:v>
                </c:pt>
                <c:pt idx="30">
                  <c:v>90</c:v>
                </c:pt>
                <c:pt idx="31">
                  <c:v>95</c:v>
                </c:pt>
                <c:pt idx="32">
                  <c:v>100</c:v>
                </c:pt>
                <c:pt idx="33">
                  <c:v>105</c:v>
                </c:pt>
                <c:pt idx="34">
                  <c:v>110</c:v>
                </c:pt>
                <c:pt idx="35">
                  <c:v>115</c:v>
                </c:pt>
                <c:pt idx="36">
                  <c:v>120</c:v>
                </c:pt>
                <c:pt idx="37">
                  <c:v>125</c:v>
                </c:pt>
                <c:pt idx="38">
                  <c:v>130</c:v>
                </c:pt>
                <c:pt idx="39">
                  <c:v>135</c:v>
                </c:pt>
                <c:pt idx="40">
                  <c:v>140</c:v>
                </c:pt>
                <c:pt idx="41">
                  <c:v>145</c:v>
                </c:pt>
                <c:pt idx="42">
                  <c:v>150</c:v>
                </c:pt>
                <c:pt idx="43">
                  <c:v>155</c:v>
                </c:pt>
                <c:pt idx="44">
                  <c:v>160</c:v>
                </c:pt>
                <c:pt idx="45">
                  <c:v>165</c:v>
                </c:pt>
                <c:pt idx="46">
                  <c:v>170</c:v>
                </c:pt>
                <c:pt idx="47">
                  <c:v>175</c:v>
                </c:pt>
                <c:pt idx="48">
                  <c:v>180</c:v>
                </c:pt>
                <c:pt idx="49">
                  <c:v>185</c:v>
                </c:pt>
              </c:numCache>
            </c:numRef>
          </c:cat>
          <c:val>
            <c:numRef>
              <c:f>'Comportamento HPA'!$U$5:$U$54</c:f>
              <c:numCache>
                <c:formatCode>0</c:formatCode>
                <c:ptCount val="50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82B-487F-A38E-974E2578A858}"/>
            </c:ext>
          </c:extLst>
        </c:ser>
        <c:ser>
          <c:idx val="5"/>
          <c:order val="5"/>
          <c:spPr>
            <a:ln w="14288">
              <a:solidFill>
                <a:srgbClr val="548235"/>
              </a:solidFill>
              <a:prstDash val="dash"/>
            </a:ln>
          </c:spPr>
          <c:marker>
            <c:symbol val="none"/>
          </c:marker>
          <c:cat>
            <c:numRef>
              <c:f>'Comportamento HPA'!$P$5:$P$54</c:f>
              <c:numCache>
                <c:formatCode>0</c:formatCode>
                <c:ptCount val="50"/>
                <c:pt idx="0">
                  <c:v>-60</c:v>
                </c:pt>
                <c:pt idx="1">
                  <c:v>-55</c:v>
                </c:pt>
                <c:pt idx="2">
                  <c:v>-50</c:v>
                </c:pt>
                <c:pt idx="3">
                  <c:v>-45</c:v>
                </c:pt>
                <c:pt idx="4">
                  <c:v>-40</c:v>
                </c:pt>
                <c:pt idx="5">
                  <c:v>-35</c:v>
                </c:pt>
                <c:pt idx="6">
                  <c:v>-30</c:v>
                </c:pt>
                <c:pt idx="7">
                  <c:v>-25</c:v>
                </c:pt>
                <c:pt idx="8">
                  <c:v>-20</c:v>
                </c:pt>
                <c:pt idx="9">
                  <c:v>-15</c:v>
                </c:pt>
                <c:pt idx="10">
                  <c:v>-10</c:v>
                </c:pt>
                <c:pt idx="11">
                  <c:v>-5</c:v>
                </c:pt>
                <c:pt idx="12">
                  <c:v>0</c:v>
                </c:pt>
                <c:pt idx="13">
                  <c:v>5</c:v>
                </c:pt>
                <c:pt idx="14">
                  <c:v>10</c:v>
                </c:pt>
                <c:pt idx="15">
                  <c:v>15</c:v>
                </c:pt>
                <c:pt idx="16">
                  <c:v>20</c:v>
                </c:pt>
                <c:pt idx="17">
                  <c:v>25</c:v>
                </c:pt>
                <c:pt idx="18">
                  <c:v>30</c:v>
                </c:pt>
                <c:pt idx="19">
                  <c:v>35</c:v>
                </c:pt>
                <c:pt idx="20">
                  <c:v>40</c:v>
                </c:pt>
                <c:pt idx="21">
                  <c:v>45</c:v>
                </c:pt>
                <c:pt idx="22">
                  <c:v>50</c:v>
                </c:pt>
                <c:pt idx="23">
                  <c:v>55</c:v>
                </c:pt>
                <c:pt idx="24">
                  <c:v>60</c:v>
                </c:pt>
                <c:pt idx="25">
                  <c:v>65</c:v>
                </c:pt>
                <c:pt idx="26">
                  <c:v>70</c:v>
                </c:pt>
                <c:pt idx="27">
                  <c:v>75</c:v>
                </c:pt>
                <c:pt idx="28">
                  <c:v>80</c:v>
                </c:pt>
                <c:pt idx="29">
                  <c:v>85</c:v>
                </c:pt>
                <c:pt idx="30">
                  <c:v>90</c:v>
                </c:pt>
                <c:pt idx="31">
                  <c:v>95</c:v>
                </c:pt>
                <c:pt idx="32">
                  <c:v>100</c:v>
                </c:pt>
                <c:pt idx="33">
                  <c:v>105</c:v>
                </c:pt>
                <c:pt idx="34">
                  <c:v>110</c:v>
                </c:pt>
                <c:pt idx="35">
                  <c:v>115</c:v>
                </c:pt>
                <c:pt idx="36">
                  <c:v>120</c:v>
                </c:pt>
                <c:pt idx="37">
                  <c:v>125</c:v>
                </c:pt>
                <c:pt idx="38">
                  <c:v>130</c:v>
                </c:pt>
                <c:pt idx="39">
                  <c:v>135</c:v>
                </c:pt>
                <c:pt idx="40">
                  <c:v>140</c:v>
                </c:pt>
                <c:pt idx="41">
                  <c:v>145</c:v>
                </c:pt>
                <c:pt idx="42">
                  <c:v>150</c:v>
                </c:pt>
                <c:pt idx="43">
                  <c:v>155</c:v>
                </c:pt>
                <c:pt idx="44">
                  <c:v>160</c:v>
                </c:pt>
                <c:pt idx="45">
                  <c:v>165</c:v>
                </c:pt>
                <c:pt idx="46">
                  <c:v>170</c:v>
                </c:pt>
                <c:pt idx="47">
                  <c:v>175</c:v>
                </c:pt>
                <c:pt idx="48">
                  <c:v>180</c:v>
                </c:pt>
                <c:pt idx="49">
                  <c:v>185</c:v>
                </c:pt>
              </c:numCache>
            </c:numRef>
          </c:cat>
          <c:val>
            <c:numRef>
              <c:f>'Comportamento HPA'!$V$5:$V$54</c:f>
              <c:numCache>
                <c:formatCode>0</c:formatCode>
                <c:ptCount val="5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82B-487F-A38E-974E2578A8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pt-BR"/>
                  <a:t>Segundos desde o início da carga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pt-BR"/>
                  <a:t>Réplicas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>
              <a:latin typeface="Arial"/>
              <a:ea typeface="Arial"/>
              <a:cs typeface="Arial"/>
            </a:defRPr>
          </a:pPr>
          <a:endParaRPr lang="pt-BR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 sz="900">
                <a:latin typeface="Arial"/>
                <a:ea typeface="Arial"/>
                <a:cs typeface="Arial"/>
              </a:rPr>
              <a:t>Variação da média do C2 em relação ao C1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2F75B5"/>
            </a:solidFill>
          </c:spPr>
          <c:invertIfNegative val="1"/>
          <c:cat>
            <c:strRef>
              <c:f>'Comparação C1 x C2'!$L$35:$L$43</c:f>
              <c:strCache>
                <c:ptCount val="9"/>
                <c:pt idx="0">
                  <c:v>Throughput</c:v>
                </c:pt>
                <c:pt idx="1">
                  <c:v>Throughput 2xx</c:v>
                </c:pt>
                <c:pt idx="2">
                  <c:v>Falhas</c:v>
                </c:pt>
                <c:pt idx="3">
                  <c:v>Latência p95</c:v>
                </c:pt>
                <c:pt idx="4">
                  <c:v>Latência 2xx p95</c:v>
                </c:pt>
                <c:pt idx="5">
                  <c:v>Pedidos</c:v>
                </c:pt>
                <c:pt idx="6">
                  <c:v>Drenagem</c:v>
                </c:pt>
                <c:pt idx="7">
                  <c:v>CPU/1.000</c:v>
                </c:pt>
                <c:pt idx="8">
                  <c:v>Memória/1.000</c:v>
                </c:pt>
              </c:strCache>
            </c:strRef>
          </c:cat>
          <c:val>
            <c:numRef>
              <c:f>'Comparação C1 x C2'!$M$35:$M$43</c:f>
              <c:numCache>
                <c:formatCode>\+0.0%;\-0.0%;0.0%</c:formatCode>
                <c:ptCount val="9"/>
                <c:pt idx="0">
                  <c:v>0.62627314706697423</c:v>
                </c:pt>
                <c:pt idx="1">
                  <c:v>1.4840185919950044</c:v>
                </c:pt>
                <c:pt idx="2">
                  <c:v>-0.93135593214521695</c:v>
                </c:pt>
                <c:pt idx="3">
                  <c:v>-0.81265142225640752</c:v>
                </c:pt>
                <c:pt idx="4">
                  <c:v>-0.76424685048928553</c:v>
                </c:pt>
                <c:pt idx="5">
                  <c:v>1.1706204369659581</c:v>
                </c:pt>
                <c:pt idx="6">
                  <c:v>-0.98379254621751611</c:v>
                </c:pt>
                <c:pt idx="7">
                  <c:v>0.21954674795051199</c:v>
                </c:pt>
                <c:pt idx="8">
                  <c:v>-0.20232843929153088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D361-415B-8DB7-FCFAE67AE7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11</xdr:row>
      <xdr:rowOff>0</xdr:rowOff>
    </xdr:from>
    <xdr:to>
      <xdr:col>14</xdr:col>
      <xdr:colOff>0</xdr:colOff>
      <xdr:row>34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5</xdr:row>
      <xdr:rowOff>0</xdr:rowOff>
    </xdr:from>
    <xdr:to>
      <xdr:col>22</xdr:col>
      <xdr:colOff>0</xdr:colOff>
      <xdr:row>31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2RunsTable" displayName="_C2RunsTable" ref="A9:AK12" totalsRowShown="0">
  <autoFilter ref="A9:AK12" xr:uid="{00000000-0009-0000-0100-000001000000}"/>
  <tableColumns count="37">
    <tableColumn id="1" xr3:uid="{00000000-0010-0000-0000-000001000000}" name="run_id"/>
    <tableColumn id="2" xr3:uid="{00000000-0010-0000-0000-000002000000}" name="validity"/>
    <tableColumn id="3" xr3:uid="{00000000-0010-0000-0000-000003000000}" name="stability"/>
    <tableColumn id="4" xr3:uid="{00000000-0010-0000-0000-000004000000}" name="requests_started"/>
    <tableColumn id="5" xr3:uid="{00000000-0010-0000-0000-000005000000}" name="responses_2xx"/>
    <tableColumn id="6" xr3:uid="{00000000-0010-0000-0000-000006000000}" name="responses_5xx"/>
    <tableColumn id="7" xr3:uid="{00000000-0010-0000-0000-000007000000}" name="connection_errors"/>
    <tableColumn id="8" xr3:uid="{00000000-0010-0000-0000-000008000000}" name="unexpected_failures"/>
    <tableColumn id="9" xr3:uid="{00000000-0010-0000-0000-000009000000}" name="unexpected_failures_percent"/>
    <tableColumn id="10" xr3:uid="{00000000-0010-0000-0000-00000A000000}" name="dropped_iterations"/>
    <tableColumn id="11" xr3:uid="{00000000-0010-0000-0000-00000B000000}" name="dropped_iterations_percent"/>
    <tableColumn id="12" xr3:uid="{00000000-0010-0000-0000-00000C000000}" name="throughput_rps"/>
    <tableColumn id="13" xr3:uid="{00000000-0010-0000-0000-00000D000000}" name="accepted_throughput_rps"/>
    <tableColumn id="14" xr3:uid="{00000000-0010-0000-0000-00000E000000}" name="latency_average_ms"/>
    <tableColumn id="15" xr3:uid="{00000000-0010-0000-0000-00000F000000}" name="latency_p95_ms"/>
    <tableColumn id="16" xr3:uid="{00000000-0010-0000-0000-000010000000}" name="latency_p99_ms"/>
    <tableColumn id="17" xr3:uid="{00000000-0010-0000-0000-000011000000}" name="response_2xx_average_ms"/>
    <tableColumn id="18" xr3:uid="{00000000-0010-0000-0000-000012000000}" name="response_2xx_p95_ms"/>
    <tableColumn id="19" xr3:uid="{00000000-0010-0000-0000-000013000000}" name="response_2xx_p99_ms"/>
    <tableColumn id="20" xr3:uid="{00000000-0010-0000-0000-000014000000}" name="orders_created"/>
    <tableColumn id="21" xr3:uid="{00000000-0010-0000-0000-000015000000}" name="orders_completed"/>
    <tableColumn id="22" xr3:uid="{00000000-0010-0000-0000-000016000000}" name="orders_pending"/>
    <tableColumn id="23" xr3:uid="{00000000-0010-0000-0000-000017000000}" name="orders_failed"/>
    <tableColumn id="24" xr3:uid="{00000000-0010-0000-0000-000018000000}" name="completion_rate_percent"/>
    <tableColumn id="25" xr3:uid="{00000000-0010-0000-0000-000019000000}" name="order_processing_p95_ms"/>
    <tableColumn id="26" xr3:uid="{00000000-0010-0000-0000-00001A000000}" name="order_processing_p99_ms"/>
    <tableColumn id="27" xr3:uid="{00000000-0010-0000-0000-00001B000000}" name="drain_duration_seconds"/>
    <tableColumn id="28" xr3:uid="{00000000-0010-0000-0000-00001C000000}" name="drain_completed"/>
    <tableColumn id="29" xr3:uid="{00000000-0010-0000-0000-00001D000000}" name="drain_objective_met"/>
    <tableColumn id="30" xr3:uid="{00000000-0010-0000-0000-00001E000000}" name="restarts"/>
    <tableColumn id="31" xr3:uid="{00000000-0010-0000-0000-00001F000000}" name="api_peak_cpu_cores"/>
    <tableColumn id="32" xr3:uid="{00000000-0010-0000-0000-000020000000}" name="api_peak_memory_mib"/>
    <tableColumn id="33" xr3:uid="{00000000-0010-0000-0000-000021000000}" name="max_backlog"/>
    <tableColumn id="34" xr3:uid="{00000000-0010-0000-0000-000022000000}" name="app_cpu_seconds_load"/>
    <tableColumn id="35" xr3:uid="{00000000-0010-0000-0000-000023000000}" name="app_memory_mib_minutes_load"/>
    <tableColumn id="36" xr3:uid="{00000000-0010-0000-0000-000024000000}" name="app_cpu_seconds_per_1000_completed_orders"/>
    <tableColumn id="37" xr3:uid="{00000000-0010-0000-0000-000025000000}" name="app_memory_mib_minutes_per_1000_completed_order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2AggregateTable" displayName="_C2AggregateTable" ref="A16:G60" totalsRowShown="0">
  <autoFilter ref="A16:G60" xr:uid="{00000000-0009-0000-0100-000002000000}"/>
  <tableColumns count="7">
    <tableColumn id="1" xr3:uid="{00000000-0010-0000-0100-000001000000}" name="metric"/>
    <tableColumn id="2" xr3:uid="{00000000-0010-0000-0100-000002000000}" name="mean"/>
    <tableColumn id="3" xr3:uid="{00000000-0010-0000-0100-000003000000}" name="median"/>
    <tableColumn id="4" xr3:uid="{00000000-0010-0000-0100-000004000000}" name="sample_stddev"/>
    <tableColumn id="5" xr3:uid="{00000000-0010-0000-0100-000005000000}" name="minimum"/>
    <tableColumn id="6" xr3:uid="{00000000-0010-0000-0100-000006000000}" name="maximum"/>
    <tableColumn id="7" xr3:uid="{00000000-0010-0000-0100-000007000000}" name="aggregation_metho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2StageTable" displayName="_C2StageTable" ref="A6:O18" totalsRowShown="0">
  <autoFilter ref="A6:O18" xr:uid="{00000000-0009-0000-0100-000003000000}"/>
  <tableColumns count="15">
    <tableColumn id="1" xr3:uid="{00000000-0010-0000-0200-000001000000}" name="run_id"/>
    <tableColumn id="2" xr3:uid="{00000000-0010-0000-0200-000002000000}" name="stage"/>
    <tableColumn id="3" xr3:uid="{00000000-0010-0000-0200-000003000000}" name="target_rps"/>
    <tableColumn id="4" xr3:uid="{00000000-0010-0000-0200-000004000000}" name="duration_seconds"/>
    <tableColumn id="5" xr3:uid="{00000000-0010-0000-0200-000005000000}" name="requests_started"/>
    <tableColumn id="6" xr3:uid="{00000000-0010-0000-0200-000006000000}" name="responses_2xx"/>
    <tableColumn id="7" xr3:uid="{00000000-0010-0000-0200-000007000000}" name="responses_5xx"/>
    <tableColumn id="8" xr3:uid="{00000000-0010-0000-0200-000008000000}" name="connection_errors"/>
    <tableColumn id="9" xr3:uid="{00000000-0010-0000-0200-000009000000}" name="dropped_iterations"/>
    <tableColumn id="10" xr3:uid="{00000000-0010-0000-0200-00000A000000}" name="latency_average_ms"/>
    <tableColumn id="11" xr3:uid="{00000000-0010-0000-0200-00000B000000}" name="latency_p95_ms"/>
    <tableColumn id="12" xr3:uid="{00000000-0010-0000-0200-00000C000000}" name="latency_p99_ms"/>
    <tableColumn id="13" xr3:uid="{00000000-0010-0000-0200-00000D000000}" name="response_2xx_average_ms"/>
    <tableColumn id="14" xr3:uid="{00000000-0010-0000-0200-00000E000000}" name="response_2xx_p95_ms"/>
    <tableColumn id="15" xr3:uid="{00000000-0010-0000-0200-00000F000000}" name="response_2xx_p99_m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2HpaRunsTable" displayName="_C2HpaRunsTable" ref="A6:K9" totalsRowShown="0">
  <autoFilter ref="A6:K9" xr:uid="{00000000-0009-0000-0100-000004000000}"/>
  <tableColumns count="11">
    <tableColumn id="1" xr3:uid="{00000000-0010-0000-0300-000001000000}" name="Execução"/>
    <tableColumn id="2" xr3:uid="{00000000-0010-0000-0300-000002000000}" name="Inicial"/>
    <tableColumn id="3" xr3:uid="{00000000-0010-0000-0300-000003000000}" name="Pods mín. observados"/>
    <tableColumn id="4" xr3:uid="{00000000-0010-0000-0300-000004000000}" name="Pods máx. observados"/>
    <tableColumn id="5" xr3:uid="{00000000-0010-0000-0300-000005000000}" name="Desejadas mín."/>
    <tableColumn id="6" xr3:uid="{00000000-0010-0000-0300-000006000000}" name="Desejadas máx."/>
    <tableColumn id="7" xr3:uid="{00000000-0010-0000-0300-000007000000}" name="1ª solicitação (s)"/>
    <tableColumn id="8" xr3:uid="{00000000-0010-0000-0300-000008000000}" name="Múltiplos Pods (s)"/>
    <tableColumn id="9" xr3:uid="{00000000-0010-0000-0300-000009000000}" name="CPU alvo"/>
    <tableColumn id="10" xr3:uid="{00000000-0010-0000-0300-00000A000000}" name="Instante da 1ª solicitação"/>
    <tableColumn id="11" xr3:uid="{00000000-0010-0000-0300-00000B000000}" name="Instante de múltiplos Pod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2HpaConfigurationTable" displayName="_C2HpaConfigurationTable" ref="A13:B20" totalsRowShown="0">
  <autoFilter ref="A13:B20" xr:uid="{00000000-0009-0000-0100-000005000000}"/>
  <tableColumns count="2">
    <tableColumn id="1" xr3:uid="{00000000-0010-0000-0400-000001000000}" name="Parâmetro"/>
    <tableColumn id="2" xr3:uid="{00000000-0010-0000-0400-000002000000}" name="Valo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2HpaSeriesTable" displayName="_C2HpaSeriesTable" ref="P4:V54" totalsRowShown="0">
  <autoFilter ref="P4:V54" xr:uid="{00000000-0009-0000-0100-000006000000}"/>
  <tableColumns count="7">
    <tableColumn id="1" xr3:uid="{00000000-0010-0000-0500-000001000000}" name="Segundos desde início da carga"/>
    <tableColumn id="2" xr3:uid="{00000000-0010-0000-0500-000002000000}" name="Atual c2-run-1"/>
    <tableColumn id="3" xr3:uid="{00000000-0010-0000-0500-000003000000}" name="Desejada c2-run-1"/>
    <tableColumn id="4" xr3:uid="{00000000-0010-0000-0500-000004000000}" name="Atual c2-run-2"/>
    <tableColumn id="5" xr3:uid="{00000000-0010-0000-0500-000005000000}" name="Desejada c2-run-2"/>
    <tableColumn id="6" xr3:uid="{00000000-0010-0000-0500-000006000000}" name="Atual c2-run-3"/>
    <tableColumn id="7" xr3:uid="{00000000-0010-0000-0500-000007000000}" name="Desejada c2-run-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1C2ComparisonTable" displayName="_C1C2ComparisonTable" ref="A6:J22" totalsRowShown="0">
  <autoFilter ref="A6:J22" xr:uid="{00000000-0009-0000-0100-000007000000}"/>
  <tableColumns count="10">
    <tableColumn id="1" xr3:uid="{00000000-0010-0000-0600-000001000000}" name="Categoria"/>
    <tableColumn id="2" xr3:uid="{00000000-0010-0000-0600-000002000000}" name="Métrica"/>
    <tableColumn id="3" xr3:uid="{00000000-0010-0000-0600-000003000000}" name="Unidade"/>
    <tableColumn id="4" xr3:uid="{00000000-0010-0000-0600-000004000000}" name="Média C1"/>
    <tableColumn id="5" xr3:uid="{00000000-0010-0000-0600-000005000000}" name="Média C2"/>
    <tableColumn id="6" xr3:uid="{00000000-0010-0000-0600-000006000000}" name="Variação da média"/>
    <tableColumn id="7" xr3:uid="{00000000-0010-0000-0600-000007000000}" name="Mediana C1"/>
    <tableColumn id="8" xr3:uid="{00000000-0010-0000-0600-000008000000}" name="Mediana C2"/>
    <tableColumn id="9" xr3:uid="{00000000-0010-0000-0600-000009000000}" name="Variação da mediana"/>
    <tableColumn id="10" xr3:uid="{00000000-0010-0000-0600-00000A000000}" name="Leitur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1C2ChartDataTable" displayName="_C1C2ChartDataTable" ref="L34:M43" totalsRowShown="0">
  <autoFilter ref="L34:M43" xr:uid="{00000000-0009-0000-0100-000008000000}"/>
  <tableColumns count="2">
    <tableColumn id="1" xr3:uid="{00000000-0010-0000-0700-000001000000}" name="Métrica"/>
    <tableColumn id="2" xr3:uid="{00000000-0010-0000-0700-000002000000}" name="Variação méd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</sheetPr>
  <dimension ref="A2:AK60"/>
  <sheetViews>
    <sheetView workbookViewId="0">
      <pane ySplit="9" topLeftCell="A64" activePane="bottomLeft" state="frozen"/>
      <selection pane="bottomLeft"/>
    </sheetView>
  </sheetViews>
  <sheetFormatPr defaultRowHeight="13.8"/>
  <cols>
    <col min="1" max="1" width="50" customWidth="1"/>
    <col min="2" max="2" width="14" customWidth="1"/>
    <col min="3" max="3" width="12" customWidth="1"/>
    <col min="4" max="4" width="15" customWidth="1"/>
    <col min="5" max="6" width="12" customWidth="1"/>
    <col min="7" max="7" width="54" customWidth="1"/>
    <col min="8" max="8" width="21" customWidth="1"/>
    <col min="9" max="9" width="25" customWidth="1"/>
    <col min="10" max="10" width="20" customWidth="1"/>
    <col min="11" max="11" width="25" customWidth="1"/>
    <col min="12" max="12" width="16" customWidth="1"/>
    <col min="13" max="13" width="25" customWidth="1"/>
    <col min="14" max="14" width="20" customWidth="1"/>
    <col min="15" max="16" width="16" customWidth="1"/>
    <col min="17" max="17" width="25" customWidth="1"/>
    <col min="18" max="19" width="21" customWidth="1"/>
    <col min="20" max="20" width="16" customWidth="1"/>
    <col min="21" max="21" width="18" customWidth="1"/>
    <col min="22" max="22" width="16" customWidth="1"/>
    <col min="23" max="23" width="15" customWidth="1"/>
    <col min="24" max="26" width="25" customWidth="1"/>
    <col min="27" max="27" width="24" customWidth="1"/>
    <col min="28" max="28" width="17" customWidth="1"/>
    <col min="29" max="29" width="21" customWidth="1"/>
    <col min="30" max="30" width="12" customWidth="1"/>
    <col min="31" max="31" width="20" customWidth="1"/>
    <col min="32" max="32" width="21" customWidth="1"/>
    <col min="33" max="33" width="13" customWidth="1"/>
    <col min="34" max="34" width="22" customWidth="1"/>
    <col min="35" max="37" width="25" customWidth="1"/>
  </cols>
  <sheetData>
    <row r="2" spans="1:37" ht="24" customHeight="1">
      <c r="A2" s="1" t="s">
        <v>0</v>
      </c>
    </row>
    <row r="3" spans="1:37" ht="19.95" customHeight="1">
      <c r="A3" s="2" t="s">
        <v>1</v>
      </c>
    </row>
    <row r="4" spans="1:37">
      <c r="A4" s="3"/>
      <c r="B4" s="3"/>
      <c r="C4" s="3"/>
      <c r="D4" s="3"/>
      <c r="E4" s="3"/>
      <c r="F4" s="3"/>
      <c r="G4" s="3"/>
      <c r="H4" s="3"/>
    </row>
    <row r="5" spans="1:37" ht="25.05" customHeight="1">
      <c r="A5" s="35" t="s">
        <v>2</v>
      </c>
      <c r="B5" s="36" t="s">
        <v>2</v>
      </c>
      <c r="C5" s="36" t="s">
        <v>2</v>
      </c>
      <c r="D5" s="36" t="s">
        <v>2</v>
      </c>
      <c r="E5" s="36" t="s">
        <v>2</v>
      </c>
      <c r="F5" s="36" t="s">
        <v>2</v>
      </c>
      <c r="G5" s="36" t="s">
        <v>2</v>
      </c>
      <c r="H5" s="37" t="s">
        <v>2</v>
      </c>
    </row>
    <row r="6" spans="1:37" ht="25.05" customHeight="1">
      <c r="A6" s="38" t="s">
        <v>2</v>
      </c>
      <c r="B6" s="39" t="s">
        <v>2</v>
      </c>
      <c r="C6" s="39" t="s">
        <v>2</v>
      </c>
      <c r="D6" s="39" t="s">
        <v>2</v>
      </c>
      <c r="E6" s="39" t="s">
        <v>2</v>
      </c>
      <c r="F6" s="39" t="s">
        <v>2</v>
      </c>
      <c r="G6" s="39" t="s">
        <v>2</v>
      </c>
      <c r="H6" s="40" t="s">
        <v>2</v>
      </c>
    </row>
    <row r="8" spans="1:37" ht="22.05" customHeight="1">
      <c r="A8" s="41" t="s">
        <v>3</v>
      </c>
      <c r="B8" s="42" t="s">
        <v>3</v>
      </c>
      <c r="C8" s="42" t="s">
        <v>3</v>
      </c>
      <c r="D8" s="42" t="s">
        <v>3</v>
      </c>
      <c r="E8" s="42" t="s">
        <v>3</v>
      </c>
      <c r="F8" s="42" t="s">
        <v>3</v>
      </c>
      <c r="G8" s="42" t="s">
        <v>3</v>
      </c>
      <c r="H8" s="43" t="s">
        <v>3</v>
      </c>
    </row>
    <row r="9" spans="1:37" ht="48" customHeight="1">
      <c r="A9" s="5" t="s">
        <v>4</v>
      </c>
      <c r="B9" s="5" t="s">
        <v>5</v>
      </c>
      <c r="C9" s="5" t="s">
        <v>6</v>
      </c>
      <c r="D9" s="5" t="s">
        <v>7</v>
      </c>
      <c r="E9" s="5" t="s">
        <v>8</v>
      </c>
      <c r="F9" s="5" t="s">
        <v>9</v>
      </c>
      <c r="G9" s="5" t="s">
        <v>10</v>
      </c>
      <c r="H9" s="5" t="s">
        <v>11</v>
      </c>
      <c r="I9" s="5" t="s">
        <v>12</v>
      </c>
      <c r="J9" s="5" t="s">
        <v>13</v>
      </c>
      <c r="K9" s="5" t="s">
        <v>14</v>
      </c>
      <c r="L9" s="5" t="s">
        <v>15</v>
      </c>
      <c r="M9" s="5" t="s">
        <v>16</v>
      </c>
      <c r="N9" s="5" t="s">
        <v>17</v>
      </c>
      <c r="O9" s="5" t="s">
        <v>18</v>
      </c>
      <c r="P9" s="5" t="s">
        <v>19</v>
      </c>
      <c r="Q9" s="5" t="s">
        <v>20</v>
      </c>
      <c r="R9" s="5" t="s">
        <v>21</v>
      </c>
      <c r="S9" s="5" t="s">
        <v>22</v>
      </c>
      <c r="T9" s="5" t="s">
        <v>23</v>
      </c>
      <c r="U9" s="5" t="s">
        <v>24</v>
      </c>
      <c r="V9" s="5" t="s">
        <v>25</v>
      </c>
      <c r="W9" s="5" t="s">
        <v>26</v>
      </c>
      <c r="X9" s="5" t="s">
        <v>27</v>
      </c>
      <c r="Y9" s="5" t="s">
        <v>28</v>
      </c>
      <c r="Z9" s="5" t="s">
        <v>29</v>
      </c>
      <c r="AA9" s="5" t="s">
        <v>30</v>
      </c>
      <c r="AB9" s="5" t="s">
        <v>31</v>
      </c>
      <c r="AC9" s="5" t="s">
        <v>32</v>
      </c>
      <c r="AD9" s="5" t="s">
        <v>33</v>
      </c>
      <c r="AE9" s="5" t="s">
        <v>34</v>
      </c>
      <c r="AF9" s="5" t="s">
        <v>35</v>
      </c>
      <c r="AG9" s="5" t="s">
        <v>36</v>
      </c>
      <c r="AH9" s="5" t="s">
        <v>37</v>
      </c>
      <c r="AI9" s="5" t="s">
        <v>38</v>
      </c>
      <c r="AJ9" s="5" t="s">
        <v>39</v>
      </c>
      <c r="AK9" s="5" t="s">
        <v>40</v>
      </c>
    </row>
    <row r="10" spans="1:37" ht="19.95" customHeight="1">
      <c r="A10" s="6" t="s">
        <v>41</v>
      </c>
      <c r="B10" s="6" t="s">
        <v>42</v>
      </c>
      <c r="C10" s="6" t="s">
        <v>43</v>
      </c>
      <c r="D10" s="7">
        <v>1609</v>
      </c>
      <c r="E10" s="7">
        <v>1608</v>
      </c>
      <c r="F10" s="7">
        <v>0</v>
      </c>
      <c r="G10" s="7">
        <v>1</v>
      </c>
      <c r="H10" s="7">
        <v>1</v>
      </c>
      <c r="I10" s="8">
        <v>6.2E-2</v>
      </c>
      <c r="J10" s="7">
        <v>0</v>
      </c>
      <c r="K10" s="7">
        <v>0</v>
      </c>
      <c r="L10" s="9">
        <v>17.878834000000001</v>
      </c>
      <c r="M10" s="9">
        <v>17.867722000000001</v>
      </c>
      <c r="N10" s="8">
        <v>35.420999999999999</v>
      </c>
      <c r="O10" s="8">
        <v>78.069000000000003</v>
      </c>
      <c r="P10" s="8">
        <v>113.607</v>
      </c>
      <c r="Q10" s="8">
        <v>35.392000000000003</v>
      </c>
      <c r="R10" s="8">
        <v>77.998999999999995</v>
      </c>
      <c r="S10" s="8">
        <v>113.624</v>
      </c>
      <c r="T10" s="7">
        <v>1608</v>
      </c>
      <c r="U10" s="7">
        <v>1608</v>
      </c>
      <c r="V10" s="7">
        <v>0</v>
      </c>
      <c r="W10" s="7">
        <v>0</v>
      </c>
      <c r="X10" s="7">
        <v>100</v>
      </c>
      <c r="Y10" s="8">
        <v>74.307000000000002</v>
      </c>
      <c r="Z10" s="8">
        <v>127.63500000000001</v>
      </c>
      <c r="AA10" s="7">
        <v>4</v>
      </c>
      <c r="AB10" s="10" t="b">
        <v>1</v>
      </c>
      <c r="AC10" s="10" t="b">
        <v>1</v>
      </c>
      <c r="AD10" s="7">
        <v>0</v>
      </c>
      <c r="AE10" s="11">
        <v>0.49819341700000003</v>
      </c>
      <c r="AF10" s="9">
        <v>78.613281000000001</v>
      </c>
      <c r="AG10" s="7">
        <v>2</v>
      </c>
      <c r="AH10" s="9">
        <v>58.630896</v>
      </c>
      <c r="AI10" s="9">
        <v>398.28486800000002</v>
      </c>
      <c r="AJ10" s="8">
        <v>36.462000000000003</v>
      </c>
      <c r="AK10" s="9">
        <v>247.689594</v>
      </c>
    </row>
    <row r="11" spans="1:37" ht="19.95" customHeight="1">
      <c r="A11" s="14" t="s">
        <v>44</v>
      </c>
      <c r="B11" s="14" t="s">
        <v>42</v>
      </c>
      <c r="C11" s="21" t="s">
        <v>45</v>
      </c>
      <c r="D11" s="15">
        <v>1606</v>
      </c>
      <c r="E11" s="15">
        <v>1529</v>
      </c>
      <c r="F11" s="15">
        <v>20</v>
      </c>
      <c r="G11" s="15">
        <v>57</v>
      </c>
      <c r="H11" s="15">
        <v>77</v>
      </c>
      <c r="I11" s="16">
        <v>4.7949999999999999</v>
      </c>
      <c r="J11" s="15">
        <v>3</v>
      </c>
      <c r="K11" s="16">
        <v>0.186</v>
      </c>
      <c r="L11" s="17">
        <v>14.381391000000001</v>
      </c>
      <c r="M11" s="17">
        <v>13.691872</v>
      </c>
      <c r="N11" s="16">
        <v>3191.047</v>
      </c>
      <c r="O11" s="16">
        <v>31031.576000000001</v>
      </c>
      <c r="P11" s="16">
        <v>54119.629000000001</v>
      </c>
      <c r="Q11" s="18">
        <v>945.35</v>
      </c>
      <c r="R11" s="16">
        <v>3120.335</v>
      </c>
      <c r="S11" s="16">
        <v>29793.134999999998</v>
      </c>
      <c r="T11" s="15">
        <v>1544</v>
      </c>
      <c r="U11" s="15">
        <v>1544</v>
      </c>
      <c r="V11" s="15">
        <v>0</v>
      </c>
      <c r="W11" s="15">
        <v>0</v>
      </c>
      <c r="X11" s="15">
        <v>100</v>
      </c>
      <c r="Y11" s="16">
        <v>532.16700000000003</v>
      </c>
      <c r="Z11" s="16">
        <v>633.48400000000004</v>
      </c>
      <c r="AA11" s="15">
        <v>3</v>
      </c>
      <c r="AB11" s="19" t="b">
        <v>1</v>
      </c>
      <c r="AC11" s="19" t="b">
        <v>1</v>
      </c>
      <c r="AD11" s="15">
        <v>1</v>
      </c>
      <c r="AE11" s="20">
        <v>0.48293165500000002</v>
      </c>
      <c r="AF11" s="17">
        <v>86.777343999999999</v>
      </c>
      <c r="AG11" s="15">
        <v>1</v>
      </c>
      <c r="AH11" s="17">
        <v>68.500111000000004</v>
      </c>
      <c r="AI11" s="17">
        <v>627.69423900000004</v>
      </c>
      <c r="AJ11" s="17">
        <v>44.365357000000003</v>
      </c>
      <c r="AK11" s="17">
        <v>406.53771899999998</v>
      </c>
    </row>
    <row r="12" spans="1:37" ht="19.95" customHeight="1">
      <c r="A12" s="6" t="s">
        <v>46</v>
      </c>
      <c r="B12" s="6" t="s">
        <v>42</v>
      </c>
      <c r="C12" s="6" t="s">
        <v>43</v>
      </c>
      <c r="D12" s="7">
        <v>1609</v>
      </c>
      <c r="E12" s="7">
        <v>1606</v>
      </c>
      <c r="F12" s="7">
        <v>0</v>
      </c>
      <c r="G12" s="7">
        <v>3</v>
      </c>
      <c r="H12" s="7">
        <v>3</v>
      </c>
      <c r="I12" s="8">
        <v>0.186</v>
      </c>
      <c r="J12" s="7">
        <v>0</v>
      </c>
      <c r="K12" s="7">
        <v>0</v>
      </c>
      <c r="L12" s="9">
        <v>17.878895</v>
      </c>
      <c r="M12" s="13">
        <v>17.845559999999999</v>
      </c>
      <c r="N12" s="8">
        <v>36.997999999999998</v>
      </c>
      <c r="O12" s="8">
        <v>75.938000000000002</v>
      </c>
      <c r="P12" s="8">
        <v>205.67099999999999</v>
      </c>
      <c r="Q12" s="8">
        <v>37.037999999999997</v>
      </c>
      <c r="R12" s="7">
        <v>76</v>
      </c>
      <c r="S12" s="8">
        <v>206.07400000000001</v>
      </c>
      <c r="T12" s="7">
        <v>1606</v>
      </c>
      <c r="U12" s="7">
        <v>1606</v>
      </c>
      <c r="V12" s="7">
        <v>0</v>
      </c>
      <c r="W12" s="7">
        <v>0</v>
      </c>
      <c r="X12" s="7">
        <v>100</v>
      </c>
      <c r="Y12" s="8">
        <v>83.284999999999997</v>
      </c>
      <c r="Z12" s="8">
        <v>126.60599999999999</v>
      </c>
      <c r="AA12" s="7">
        <v>3</v>
      </c>
      <c r="AB12" s="10" t="b">
        <v>1</v>
      </c>
      <c r="AC12" s="10" t="b">
        <v>1</v>
      </c>
      <c r="AD12" s="7">
        <v>0</v>
      </c>
      <c r="AE12" s="11">
        <v>0.42935789299999999</v>
      </c>
      <c r="AF12" s="9">
        <v>78.101562000000001</v>
      </c>
      <c r="AG12" s="7">
        <v>1</v>
      </c>
      <c r="AH12" s="9">
        <v>64.452815000000001</v>
      </c>
      <c r="AI12" s="9">
        <v>417.02467899999999</v>
      </c>
      <c r="AJ12" s="9">
        <v>40.132513000000003</v>
      </c>
      <c r="AK12" s="9">
        <v>259.666674</v>
      </c>
    </row>
    <row r="15" spans="1:37" ht="22.05" customHeight="1">
      <c r="A15" s="41" t="s">
        <v>47</v>
      </c>
      <c r="B15" s="42" t="s">
        <v>47</v>
      </c>
      <c r="C15" s="42" t="s">
        <v>47</v>
      </c>
      <c r="D15" s="42" t="s">
        <v>47</v>
      </c>
      <c r="E15" s="42" t="s">
        <v>47</v>
      </c>
      <c r="F15" s="42" t="s">
        <v>47</v>
      </c>
      <c r="G15" s="43" t="s">
        <v>47</v>
      </c>
    </row>
    <row r="16" spans="1:37" ht="48" customHeight="1">
      <c r="A16" s="5" t="s">
        <v>48</v>
      </c>
      <c r="B16" s="5" t="s">
        <v>49</v>
      </c>
      <c r="C16" s="5" t="s">
        <v>50</v>
      </c>
      <c r="D16" s="5" t="s">
        <v>51</v>
      </c>
      <c r="E16" s="5" t="s">
        <v>52</v>
      </c>
      <c r="F16" s="5" t="s">
        <v>53</v>
      </c>
      <c r="G16" s="5" t="s">
        <v>54</v>
      </c>
    </row>
    <row r="17" spans="1:7" ht="19.95" customHeight="1">
      <c r="A17" s="6" t="s">
        <v>7</v>
      </c>
      <c r="B17" s="7">
        <v>1608</v>
      </c>
      <c r="C17" s="7">
        <v>1609</v>
      </c>
      <c r="D17" s="9">
        <v>1.732051</v>
      </c>
      <c r="E17" s="7">
        <v>1606</v>
      </c>
      <c r="F17" s="7">
        <v>1609</v>
      </c>
      <c r="G17" s="6" t="s">
        <v>55</v>
      </c>
    </row>
    <row r="18" spans="1:7" ht="19.95" customHeight="1">
      <c r="A18" s="6" t="s">
        <v>8</v>
      </c>
      <c r="B18" s="7">
        <v>1581</v>
      </c>
      <c r="C18" s="7">
        <v>1606</v>
      </c>
      <c r="D18" s="9">
        <v>45.044423000000002</v>
      </c>
      <c r="E18" s="7">
        <v>1529</v>
      </c>
      <c r="F18" s="7">
        <v>1608</v>
      </c>
      <c r="G18" s="6" t="s">
        <v>55</v>
      </c>
    </row>
    <row r="19" spans="1:7" ht="19.95" customHeight="1">
      <c r="A19" s="6" t="s">
        <v>9</v>
      </c>
      <c r="B19" s="9">
        <v>6.6666670000000003</v>
      </c>
      <c r="C19" s="7">
        <v>0</v>
      </c>
      <c r="D19" s="9">
        <v>11.547005</v>
      </c>
      <c r="E19" s="7">
        <v>0</v>
      </c>
      <c r="F19" s="7">
        <v>20</v>
      </c>
      <c r="G19" s="6" t="s">
        <v>55</v>
      </c>
    </row>
    <row r="20" spans="1:7" ht="19.95" customHeight="1">
      <c r="A20" s="6" t="s">
        <v>10</v>
      </c>
      <c r="B20" s="9">
        <v>20.333333</v>
      </c>
      <c r="C20" s="7">
        <v>3</v>
      </c>
      <c r="D20" s="9">
        <v>31.770007</v>
      </c>
      <c r="E20" s="7">
        <v>1</v>
      </c>
      <c r="F20" s="7">
        <v>57</v>
      </c>
      <c r="G20" s="6" t="s">
        <v>55</v>
      </c>
    </row>
    <row r="21" spans="1:7" ht="19.95" customHeight="1">
      <c r="A21" s="6" t="s">
        <v>11</v>
      </c>
      <c r="B21" s="7">
        <v>27</v>
      </c>
      <c r="C21" s="7">
        <v>3</v>
      </c>
      <c r="D21" s="9">
        <v>43.312815999999998</v>
      </c>
      <c r="E21" s="7">
        <v>1</v>
      </c>
      <c r="F21" s="7">
        <v>77</v>
      </c>
      <c r="G21" s="6" t="s">
        <v>55</v>
      </c>
    </row>
    <row r="22" spans="1:7" ht="19.95" customHeight="1">
      <c r="A22" s="6" t="s">
        <v>12</v>
      </c>
      <c r="B22" s="8">
        <v>1.681</v>
      </c>
      <c r="C22" s="8">
        <v>0.186</v>
      </c>
      <c r="D22" s="9">
        <v>2.6975159999999998</v>
      </c>
      <c r="E22" s="8">
        <v>6.2E-2</v>
      </c>
      <c r="F22" s="8">
        <v>4.7949999999999999</v>
      </c>
      <c r="G22" s="6" t="s">
        <v>55</v>
      </c>
    </row>
    <row r="23" spans="1:7" ht="19.95" customHeight="1">
      <c r="A23" s="6" t="s">
        <v>13</v>
      </c>
      <c r="B23" s="7">
        <v>1</v>
      </c>
      <c r="C23" s="7">
        <v>0</v>
      </c>
      <c r="D23" s="9">
        <v>1.732051</v>
      </c>
      <c r="E23" s="7">
        <v>0</v>
      </c>
      <c r="F23" s="7">
        <v>3</v>
      </c>
      <c r="G23" s="6" t="s">
        <v>55</v>
      </c>
    </row>
    <row r="24" spans="1:7" ht="19.95" customHeight="1">
      <c r="A24" s="6" t="s">
        <v>14</v>
      </c>
      <c r="B24" s="8">
        <v>6.2E-2</v>
      </c>
      <c r="C24" s="7">
        <v>0</v>
      </c>
      <c r="D24" s="9">
        <v>0.107387</v>
      </c>
      <c r="E24" s="7">
        <v>0</v>
      </c>
      <c r="F24" s="8">
        <v>0.186</v>
      </c>
      <c r="G24" s="6" t="s">
        <v>55</v>
      </c>
    </row>
    <row r="25" spans="1:7" ht="19.95" customHeight="1">
      <c r="A25" s="6" t="s">
        <v>15</v>
      </c>
      <c r="B25" s="13">
        <v>16.713039999999999</v>
      </c>
      <c r="C25" s="9">
        <v>17.878834000000001</v>
      </c>
      <c r="D25" s="9">
        <v>2.0192670000000001</v>
      </c>
      <c r="E25" s="9">
        <v>14.381391000000001</v>
      </c>
      <c r="F25" s="9">
        <v>17.878895</v>
      </c>
      <c r="G25" s="6" t="s">
        <v>55</v>
      </c>
    </row>
    <row r="26" spans="1:7" ht="19.95" customHeight="1">
      <c r="A26" s="6" t="s">
        <v>16</v>
      </c>
      <c r="B26" s="9">
        <v>16.468385000000001</v>
      </c>
      <c r="C26" s="13">
        <v>17.845559999999999</v>
      </c>
      <c r="D26" s="9">
        <v>2.4045559999999999</v>
      </c>
      <c r="E26" s="9">
        <v>13.691872</v>
      </c>
      <c r="F26" s="9">
        <v>17.867722000000001</v>
      </c>
      <c r="G26" s="6" t="s">
        <v>55</v>
      </c>
    </row>
    <row r="27" spans="1:7" ht="19.95" customHeight="1">
      <c r="A27" s="6" t="s">
        <v>17</v>
      </c>
      <c r="B27" s="8">
        <v>1087.8219999999999</v>
      </c>
      <c r="C27" s="8">
        <v>36.997999999999998</v>
      </c>
      <c r="D27" s="9">
        <v>1821.446451</v>
      </c>
      <c r="E27" s="8">
        <v>35.420999999999999</v>
      </c>
      <c r="F27" s="8">
        <v>3191.047</v>
      </c>
      <c r="G27" s="6" t="s">
        <v>55</v>
      </c>
    </row>
    <row r="28" spans="1:7" ht="19.95" customHeight="1">
      <c r="A28" s="6" t="s">
        <v>18</v>
      </c>
      <c r="B28" s="9">
        <v>10395.194332999999</v>
      </c>
      <c r="C28" s="8">
        <v>78.069000000000003</v>
      </c>
      <c r="D28" s="9">
        <v>17871.630797000002</v>
      </c>
      <c r="E28" s="8">
        <v>75.938000000000002</v>
      </c>
      <c r="F28" s="8">
        <v>31031.576000000001</v>
      </c>
      <c r="G28" s="6" t="s">
        <v>56</v>
      </c>
    </row>
    <row r="29" spans="1:7" ht="19.95" customHeight="1">
      <c r="A29" s="6" t="s">
        <v>19</v>
      </c>
      <c r="B29" s="9">
        <v>18146.302333</v>
      </c>
      <c r="C29" s="8">
        <v>205.67099999999999</v>
      </c>
      <c r="D29" s="13">
        <v>31153.848760000001</v>
      </c>
      <c r="E29" s="8">
        <v>113.607</v>
      </c>
      <c r="F29" s="8">
        <v>54119.629000000001</v>
      </c>
      <c r="G29" s="6" t="s">
        <v>56</v>
      </c>
    </row>
    <row r="30" spans="1:7" ht="19.95" customHeight="1">
      <c r="A30" s="6" t="s">
        <v>20</v>
      </c>
      <c r="B30" s="12">
        <v>339.26</v>
      </c>
      <c r="C30" s="8">
        <v>37.037999999999997</v>
      </c>
      <c r="D30" s="9">
        <v>524.88998200000003</v>
      </c>
      <c r="E30" s="8">
        <v>35.392000000000003</v>
      </c>
      <c r="F30" s="12">
        <v>945.35</v>
      </c>
      <c r="G30" s="6" t="s">
        <v>55</v>
      </c>
    </row>
    <row r="31" spans="1:7" ht="19.95" customHeight="1">
      <c r="A31" s="6" t="s">
        <v>21</v>
      </c>
      <c r="B31" s="9">
        <v>1091.444667</v>
      </c>
      <c r="C31" s="8">
        <v>77.998999999999995</v>
      </c>
      <c r="D31" s="9">
        <v>1757.0708540000001</v>
      </c>
      <c r="E31" s="7">
        <v>76</v>
      </c>
      <c r="F31" s="8">
        <v>3120.335</v>
      </c>
      <c r="G31" s="6" t="s">
        <v>56</v>
      </c>
    </row>
    <row r="32" spans="1:7" ht="19.95" customHeight="1">
      <c r="A32" s="6" t="s">
        <v>22</v>
      </c>
      <c r="B32" s="8">
        <v>10037.611000000001</v>
      </c>
      <c r="C32" s="8">
        <v>206.07400000000001</v>
      </c>
      <c r="D32" s="9">
        <v>17108.848095000001</v>
      </c>
      <c r="E32" s="8">
        <v>113.624</v>
      </c>
      <c r="F32" s="8">
        <v>29793.134999999998</v>
      </c>
      <c r="G32" s="6" t="s">
        <v>56</v>
      </c>
    </row>
    <row r="33" spans="1:7" ht="19.95" customHeight="1">
      <c r="A33" s="6" t="s">
        <v>23</v>
      </c>
      <c r="B33" s="7">
        <v>1586</v>
      </c>
      <c r="C33" s="7">
        <v>1606</v>
      </c>
      <c r="D33" s="9">
        <v>36.386811000000002</v>
      </c>
      <c r="E33" s="7">
        <v>1544</v>
      </c>
      <c r="F33" s="7">
        <v>1608</v>
      </c>
      <c r="G33" s="6" t="s">
        <v>55</v>
      </c>
    </row>
    <row r="34" spans="1:7" ht="19.95" customHeight="1">
      <c r="A34" s="6" t="s">
        <v>24</v>
      </c>
      <c r="B34" s="7">
        <v>1586</v>
      </c>
      <c r="C34" s="7">
        <v>1606</v>
      </c>
      <c r="D34" s="9">
        <v>36.386811000000002</v>
      </c>
      <c r="E34" s="7">
        <v>1544</v>
      </c>
      <c r="F34" s="7">
        <v>1608</v>
      </c>
      <c r="G34" s="6" t="s">
        <v>55</v>
      </c>
    </row>
    <row r="35" spans="1:7" ht="19.95" customHeight="1">
      <c r="A35" s="6" t="s">
        <v>25</v>
      </c>
      <c r="B35" s="7">
        <v>0</v>
      </c>
      <c r="C35" s="7">
        <v>0</v>
      </c>
      <c r="D35" s="7">
        <v>0</v>
      </c>
      <c r="E35" s="7">
        <v>0</v>
      </c>
      <c r="F35" s="7">
        <v>0</v>
      </c>
      <c r="G35" s="6" t="s">
        <v>55</v>
      </c>
    </row>
    <row r="36" spans="1:7" ht="19.95" customHeight="1">
      <c r="A36" s="6" t="s">
        <v>26</v>
      </c>
      <c r="B36" s="7">
        <v>0</v>
      </c>
      <c r="C36" s="7">
        <v>0</v>
      </c>
      <c r="D36" s="7">
        <v>0</v>
      </c>
      <c r="E36" s="7">
        <v>0</v>
      </c>
      <c r="F36" s="7">
        <v>0</v>
      </c>
      <c r="G36" s="6" t="s">
        <v>55</v>
      </c>
    </row>
    <row r="37" spans="1:7" ht="19.95" customHeight="1">
      <c r="A37" s="6" t="s">
        <v>27</v>
      </c>
      <c r="B37" s="7">
        <v>100</v>
      </c>
      <c r="C37" s="7">
        <v>100</v>
      </c>
      <c r="D37" s="7">
        <v>0</v>
      </c>
      <c r="E37" s="7">
        <v>100</v>
      </c>
      <c r="F37" s="7">
        <v>100</v>
      </c>
      <c r="G37" s="6" t="s">
        <v>55</v>
      </c>
    </row>
    <row r="38" spans="1:7" ht="19.95" customHeight="1">
      <c r="A38" s="6" t="s">
        <v>28</v>
      </c>
      <c r="B38" s="9">
        <v>229.919667</v>
      </c>
      <c r="C38" s="8">
        <v>83.284999999999997</v>
      </c>
      <c r="D38" s="9">
        <v>261.79235899999998</v>
      </c>
      <c r="E38" s="8">
        <v>74.307000000000002</v>
      </c>
      <c r="F38" s="8">
        <v>532.16700000000003</v>
      </c>
      <c r="G38" s="6" t="s">
        <v>56</v>
      </c>
    </row>
    <row r="39" spans="1:7" ht="19.95" customHeight="1">
      <c r="A39" s="6" t="s">
        <v>29</v>
      </c>
      <c r="B39" s="9">
        <v>295.90833300000003</v>
      </c>
      <c r="C39" s="8">
        <v>127.63500000000001</v>
      </c>
      <c r="D39" s="9">
        <v>292.34955600000001</v>
      </c>
      <c r="E39" s="8">
        <v>126.60599999999999</v>
      </c>
      <c r="F39" s="8">
        <v>633.48400000000004</v>
      </c>
      <c r="G39" s="6" t="s">
        <v>56</v>
      </c>
    </row>
    <row r="40" spans="1:7" ht="19.95" customHeight="1">
      <c r="A40" s="6" t="s">
        <v>30</v>
      </c>
      <c r="B40" s="9">
        <v>3.3333330000000001</v>
      </c>
      <c r="C40" s="7">
        <v>3</v>
      </c>
      <c r="D40" s="13">
        <v>0.57735000000000003</v>
      </c>
      <c r="E40" s="7">
        <v>3</v>
      </c>
      <c r="F40" s="7">
        <v>4</v>
      </c>
      <c r="G40" s="6" t="s">
        <v>55</v>
      </c>
    </row>
    <row r="41" spans="1:7" ht="19.95" customHeight="1">
      <c r="A41" s="6" t="s">
        <v>33</v>
      </c>
      <c r="B41" s="9">
        <v>0.33333299999999999</v>
      </c>
      <c r="C41" s="7">
        <v>0</v>
      </c>
      <c r="D41" s="13">
        <v>0.57735000000000003</v>
      </c>
      <c r="E41" s="7">
        <v>0</v>
      </c>
      <c r="F41" s="7">
        <v>1</v>
      </c>
      <c r="G41" s="6" t="s">
        <v>55</v>
      </c>
    </row>
    <row r="42" spans="1:7" ht="19.95" customHeight="1">
      <c r="A42" s="6" t="s">
        <v>34</v>
      </c>
      <c r="B42" s="9">
        <v>0.470161</v>
      </c>
      <c r="C42" s="9">
        <v>0.48293199999999997</v>
      </c>
      <c r="D42" s="9">
        <v>3.6151000000000003E-2</v>
      </c>
      <c r="E42" s="9">
        <v>0.42935800000000002</v>
      </c>
      <c r="F42" s="9">
        <v>0.498193</v>
      </c>
      <c r="G42" s="6" t="s">
        <v>55</v>
      </c>
    </row>
    <row r="43" spans="1:7" ht="19.95" customHeight="1">
      <c r="A43" s="6" t="s">
        <v>35</v>
      </c>
      <c r="B43" s="9">
        <v>81.164062000000001</v>
      </c>
      <c r="C43" s="9">
        <v>78.613281000000001</v>
      </c>
      <c r="D43" s="9">
        <v>4.8679730000000001</v>
      </c>
      <c r="E43" s="9">
        <v>78.101562000000001</v>
      </c>
      <c r="F43" s="9">
        <v>86.777343999999999</v>
      </c>
      <c r="G43" s="6" t="s">
        <v>55</v>
      </c>
    </row>
    <row r="44" spans="1:7" ht="19.95" customHeight="1">
      <c r="A44" s="6" t="s">
        <v>36</v>
      </c>
      <c r="B44" s="9">
        <v>1.3333330000000001</v>
      </c>
      <c r="C44" s="7">
        <v>1</v>
      </c>
      <c r="D44" s="13">
        <v>0.57735000000000003</v>
      </c>
      <c r="E44" s="7">
        <v>1</v>
      </c>
      <c r="F44" s="7">
        <v>2</v>
      </c>
      <c r="G44" s="6" t="s">
        <v>55</v>
      </c>
    </row>
    <row r="45" spans="1:7" ht="19.95" customHeight="1">
      <c r="A45" s="6" t="s">
        <v>37</v>
      </c>
      <c r="B45" s="9">
        <v>63.861274000000002</v>
      </c>
      <c r="C45" s="9">
        <v>64.452815000000001</v>
      </c>
      <c r="D45" s="9">
        <v>4.9611280000000004</v>
      </c>
      <c r="E45" s="9">
        <v>58.630896</v>
      </c>
      <c r="F45" s="9">
        <v>68.500111000000004</v>
      </c>
      <c r="G45" s="6" t="s">
        <v>55</v>
      </c>
    </row>
    <row r="46" spans="1:7" ht="19.95" customHeight="1">
      <c r="A46" s="6" t="s">
        <v>38</v>
      </c>
      <c r="B46" s="9">
        <v>481.001262</v>
      </c>
      <c r="C46" s="9">
        <v>417.02467899999999</v>
      </c>
      <c r="D46" s="9">
        <v>127.384918</v>
      </c>
      <c r="E46" s="9">
        <v>398.28486800000002</v>
      </c>
      <c r="F46" s="9">
        <v>627.69423900000004</v>
      </c>
      <c r="G46" s="6" t="s">
        <v>55</v>
      </c>
    </row>
    <row r="47" spans="1:7" ht="19.95" customHeight="1">
      <c r="A47" s="6" t="s">
        <v>39</v>
      </c>
      <c r="B47" s="9">
        <v>40.319957000000002</v>
      </c>
      <c r="C47" s="9">
        <v>40.132513000000003</v>
      </c>
      <c r="D47" s="9">
        <v>3.9550109999999998</v>
      </c>
      <c r="E47" s="8">
        <v>36.462000000000003</v>
      </c>
      <c r="F47" s="9">
        <v>44.365357000000003</v>
      </c>
      <c r="G47" s="6" t="s">
        <v>55</v>
      </c>
    </row>
    <row r="48" spans="1:7" ht="19.95" customHeight="1">
      <c r="A48" s="6" t="s">
        <v>40</v>
      </c>
      <c r="B48" s="9">
        <v>304.63132899999999</v>
      </c>
      <c r="C48" s="9">
        <v>259.666674</v>
      </c>
      <c r="D48" s="9">
        <v>88.456468999999998</v>
      </c>
      <c r="E48" s="9">
        <v>247.689594</v>
      </c>
      <c r="F48" s="9">
        <v>406.53771899999998</v>
      </c>
      <c r="G48" s="6" t="s">
        <v>55</v>
      </c>
    </row>
    <row r="49" spans="1:7" ht="19.95" customHeight="1">
      <c r="A49" s="6" t="s">
        <v>57</v>
      </c>
      <c r="B49" s="7">
        <v>1</v>
      </c>
      <c r="C49" s="7">
        <v>1</v>
      </c>
      <c r="D49" s="7">
        <v>0</v>
      </c>
      <c r="E49" s="7">
        <v>1</v>
      </c>
      <c r="F49" s="7">
        <v>1</v>
      </c>
      <c r="G49" s="6" t="s">
        <v>55</v>
      </c>
    </row>
    <row r="50" spans="1:7" ht="19.95" customHeight="1">
      <c r="A50" s="6" t="s">
        <v>58</v>
      </c>
      <c r="B50" s="7">
        <v>1</v>
      </c>
      <c r="C50" s="7">
        <v>1</v>
      </c>
      <c r="D50" s="7">
        <v>0</v>
      </c>
      <c r="E50" s="7">
        <v>1</v>
      </c>
      <c r="F50" s="7">
        <v>1</v>
      </c>
      <c r="G50" s="6" t="s">
        <v>55</v>
      </c>
    </row>
    <row r="51" spans="1:7" ht="19.95" customHeight="1">
      <c r="A51" s="6" t="s">
        <v>59</v>
      </c>
      <c r="B51" s="7">
        <v>5</v>
      </c>
      <c r="C51" s="7">
        <v>5</v>
      </c>
      <c r="D51" s="7">
        <v>0</v>
      </c>
      <c r="E51" s="7">
        <v>5</v>
      </c>
      <c r="F51" s="7">
        <v>5</v>
      </c>
      <c r="G51" s="6" t="s">
        <v>55</v>
      </c>
    </row>
    <row r="52" spans="1:7" ht="19.95" customHeight="1">
      <c r="A52" s="6" t="s">
        <v>60</v>
      </c>
      <c r="B52" s="7">
        <v>1</v>
      </c>
      <c r="C52" s="7">
        <v>1</v>
      </c>
      <c r="D52" s="7">
        <v>0</v>
      </c>
      <c r="E52" s="7">
        <v>1</v>
      </c>
      <c r="F52" s="7">
        <v>1</v>
      </c>
      <c r="G52" s="6" t="s">
        <v>55</v>
      </c>
    </row>
    <row r="53" spans="1:7" ht="19.95" customHeight="1">
      <c r="A53" s="6" t="s">
        <v>61</v>
      </c>
      <c r="B53" s="7">
        <v>5</v>
      </c>
      <c r="C53" s="7">
        <v>5</v>
      </c>
      <c r="D53" s="7">
        <v>0</v>
      </c>
      <c r="E53" s="7">
        <v>5</v>
      </c>
      <c r="F53" s="7">
        <v>5</v>
      </c>
      <c r="G53" s="6" t="s">
        <v>55</v>
      </c>
    </row>
    <row r="54" spans="1:7" ht="19.95" customHeight="1">
      <c r="A54" s="6" t="s">
        <v>62</v>
      </c>
      <c r="B54" s="7">
        <v>1</v>
      </c>
      <c r="C54" s="7">
        <v>1</v>
      </c>
      <c r="D54" s="7">
        <v>0</v>
      </c>
      <c r="E54" s="7">
        <v>1</v>
      </c>
      <c r="F54" s="7">
        <v>1</v>
      </c>
      <c r="G54" s="6" t="s">
        <v>55</v>
      </c>
    </row>
    <row r="55" spans="1:7" ht="19.95" customHeight="1">
      <c r="A55" s="6" t="s">
        <v>63</v>
      </c>
      <c r="B55" s="7">
        <v>5</v>
      </c>
      <c r="C55" s="7">
        <v>5</v>
      </c>
      <c r="D55" s="7">
        <v>0</v>
      </c>
      <c r="E55" s="7">
        <v>5</v>
      </c>
      <c r="F55" s="7">
        <v>5</v>
      </c>
      <c r="G55" s="6" t="s">
        <v>55</v>
      </c>
    </row>
    <row r="56" spans="1:7" ht="19.95" customHeight="1">
      <c r="A56" s="6" t="s">
        <v>64</v>
      </c>
      <c r="B56" s="9">
        <v>29.278666999999999</v>
      </c>
      <c r="C56" s="8">
        <v>24.257999999999999</v>
      </c>
      <c r="D56" s="13">
        <v>8.7532700000000006</v>
      </c>
      <c r="E56" s="8">
        <v>24.192</v>
      </c>
      <c r="F56" s="8">
        <v>39.386000000000003</v>
      </c>
      <c r="G56" s="6" t="s">
        <v>55</v>
      </c>
    </row>
    <row r="57" spans="1:7" ht="19.95" customHeight="1">
      <c r="A57" s="6" t="s">
        <v>65</v>
      </c>
      <c r="B57" s="9">
        <v>29.278666999999999</v>
      </c>
      <c r="C57" s="8">
        <v>24.257999999999999</v>
      </c>
      <c r="D57" s="13">
        <v>8.7532700000000006</v>
      </c>
      <c r="E57" s="8">
        <v>24.192</v>
      </c>
      <c r="F57" s="8">
        <v>39.386000000000003</v>
      </c>
      <c r="G57" s="6" t="s">
        <v>55</v>
      </c>
    </row>
    <row r="58" spans="1:7" ht="19.95" customHeight="1">
      <c r="A58" s="6" t="s">
        <v>66</v>
      </c>
      <c r="B58" s="7">
        <v>70</v>
      </c>
      <c r="C58" s="7">
        <v>70</v>
      </c>
      <c r="D58" s="7">
        <v>0</v>
      </c>
      <c r="E58" s="7">
        <v>70</v>
      </c>
      <c r="F58" s="7">
        <v>70</v>
      </c>
      <c r="G58" s="6" t="s">
        <v>55</v>
      </c>
    </row>
    <row r="59" spans="1:7" ht="19.95" customHeight="1">
      <c r="A59" s="6" t="s">
        <v>67</v>
      </c>
      <c r="B59" s="7">
        <v>0</v>
      </c>
      <c r="C59" s="7">
        <v>0</v>
      </c>
      <c r="D59" s="7">
        <v>0</v>
      </c>
      <c r="E59" s="7">
        <v>0</v>
      </c>
      <c r="F59" s="7">
        <v>0</v>
      </c>
      <c r="G59" s="6" t="s">
        <v>55</v>
      </c>
    </row>
    <row r="60" spans="1:7" ht="19.95" customHeight="1">
      <c r="A60" s="6" t="s">
        <v>68</v>
      </c>
      <c r="B60" s="7">
        <v>120</v>
      </c>
      <c r="C60" s="7">
        <v>120</v>
      </c>
      <c r="D60" s="7">
        <v>0</v>
      </c>
      <c r="E60" s="7">
        <v>120</v>
      </c>
      <c r="F60" s="7">
        <v>120</v>
      </c>
      <c r="G60" s="6" t="s">
        <v>55</v>
      </c>
    </row>
  </sheetData>
  <mergeCells count="3">
    <mergeCell ref="A5:H6"/>
    <mergeCell ref="A8:H8"/>
    <mergeCell ref="A15:G15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7365D"/>
  </sheetPr>
  <dimension ref="A2:O18"/>
  <sheetViews>
    <sheetView workbookViewId="0">
      <pane ySplit="6" topLeftCell="A7" activePane="bottomLeft" state="frozen"/>
      <selection pane="bottomLeft"/>
    </sheetView>
  </sheetViews>
  <sheetFormatPr defaultRowHeight="13.8"/>
  <cols>
    <col min="1" max="3" width="12" customWidth="1"/>
    <col min="4" max="5" width="18" customWidth="1"/>
    <col min="6" max="7" width="15" customWidth="1"/>
    <col min="8" max="8" width="19" customWidth="1"/>
    <col min="9" max="10" width="20" customWidth="1"/>
    <col min="11" max="12" width="16" customWidth="1"/>
    <col min="13" max="13" width="25" customWidth="1"/>
    <col min="14" max="15" width="21" customWidth="1"/>
  </cols>
  <sheetData>
    <row r="2" spans="1:15" ht="24" customHeight="1">
      <c r="A2" s="1" t="s">
        <v>69</v>
      </c>
    </row>
    <row r="3" spans="1:15" ht="19.95" customHeight="1">
      <c r="A3" s="2" t="s">
        <v>70</v>
      </c>
    </row>
    <row r="4" spans="1:15">
      <c r="A4" s="3"/>
      <c r="B4" s="3"/>
      <c r="C4" s="3"/>
      <c r="D4" s="3"/>
      <c r="E4" s="3"/>
      <c r="F4" s="3"/>
      <c r="G4" s="3"/>
      <c r="H4" s="3"/>
    </row>
    <row r="5" spans="1:15" ht="22.05" customHeight="1">
      <c r="A5" s="41" t="s">
        <v>71</v>
      </c>
      <c r="B5" s="42" t="s">
        <v>71</v>
      </c>
      <c r="C5" s="42" t="s">
        <v>71</v>
      </c>
      <c r="D5" s="42" t="s">
        <v>71</v>
      </c>
      <c r="E5" s="42" t="s">
        <v>71</v>
      </c>
      <c r="F5" s="42" t="s">
        <v>71</v>
      </c>
      <c r="G5" s="42" t="s">
        <v>71</v>
      </c>
      <c r="H5" s="43" t="s">
        <v>71</v>
      </c>
    </row>
    <row r="6" spans="1:15" ht="48" customHeight="1">
      <c r="A6" s="5" t="s">
        <v>4</v>
      </c>
      <c r="B6" s="5" t="s">
        <v>72</v>
      </c>
      <c r="C6" s="5" t="s">
        <v>73</v>
      </c>
      <c r="D6" s="5" t="s">
        <v>74</v>
      </c>
      <c r="E6" s="5" t="s">
        <v>7</v>
      </c>
      <c r="F6" s="5" t="s">
        <v>8</v>
      </c>
      <c r="G6" s="5" t="s">
        <v>9</v>
      </c>
      <c r="H6" s="5" t="s">
        <v>10</v>
      </c>
      <c r="I6" s="5" t="s">
        <v>13</v>
      </c>
      <c r="J6" s="5" t="s">
        <v>17</v>
      </c>
      <c r="K6" s="5" t="s">
        <v>18</v>
      </c>
      <c r="L6" s="5" t="s">
        <v>19</v>
      </c>
      <c r="M6" s="5" t="s">
        <v>20</v>
      </c>
      <c r="N6" s="5" t="s">
        <v>21</v>
      </c>
      <c r="O6" s="5" t="s">
        <v>22</v>
      </c>
    </row>
    <row r="7" spans="1:15" ht="19.95" customHeight="1">
      <c r="A7" s="6" t="s">
        <v>41</v>
      </c>
      <c r="B7" s="6" t="s">
        <v>75</v>
      </c>
      <c r="C7" s="7">
        <v>20</v>
      </c>
      <c r="D7" s="7">
        <v>20</v>
      </c>
      <c r="E7" s="7">
        <v>209</v>
      </c>
      <c r="F7" s="7">
        <v>209</v>
      </c>
      <c r="G7" s="7">
        <v>0</v>
      </c>
      <c r="H7" s="7">
        <v>0</v>
      </c>
      <c r="I7" s="7">
        <v>0</v>
      </c>
      <c r="J7" s="8">
        <v>30.058</v>
      </c>
      <c r="K7" s="8">
        <v>52.395000000000003</v>
      </c>
      <c r="L7" s="22">
        <v>67.5</v>
      </c>
      <c r="M7" s="8">
        <v>30.058</v>
      </c>
      <c r="N7" s="8">
        <v>52.395000000000003</v>
      </c>
      <c r="O7" s="22">
        <v>67.5</v>
      </c>
    </row>
    <row r="8" spans="1:15" ht="19.95" customHeight="1">
      <c r="A8" s="6" t="s">
        <v>41</v>
      </c>
      <c r="B8" s="6" t="s">
        <v>76</v>
      </c>
      <c r="C8" s="7">
        <v>22</v>
      </c>
      <c r="D8" s="7">
        <v>30</v>
      </c>
      <c r="E8" s="7">
        <v>630</v>
      </c>
      <c r="F8" s="7">
        <v>629</v>
      </c>
      <c r="G8" s="7">
        <v>0</v>
      </c>
      <c r="H8" s="7">
        <v>1</v>
      </c>
      <c r="I8" s="7">
        <v>0</v>
      </c>
      <c r="J8" s="8">
        <v>38.942</v>
      </c>
      <c r="K8" s="8">
        <v>94.882999999999996</v>
      </c>
      <c r="L8" s="12">
        <v>152.38999999999999</v>
      </c>
      <c r="M8" s="8">
        <v>38.872999999999998</v>
      </c>
      <c r="N8" s="12">
        <v>95.01</v>
      </c>
      <c r="O8" s="8">
        <v>152.471</v>
      </c>
    </row>
    <row r="9" spans="1:15" ht="19.95" customHeight="1">
      <c r="A9" s="6" t="s">
        <v>41</v>
      </c>
      <c r="B9" s="6" t="s">
        <v>77</v>
      </c>
      <c r="C9" s="7">
        <v>22</v>
      </c>
      <c r="D9" s="7">
        <v>30</v>
      </c>
      <c r="E9" s="7">
        <v>661</v>
      </c>
      <c r="F9" s="7">
        <v>661</v>
      </c>
      <c r="G9" s="7">
        <v>0</v>
      </c>
      <c r="H9" s="7">
        <v>0</v>
      </c>
      <c r="I9" s="7">
        <v>0</v>
      </c>
      <c r="J9" s="8">
        <v>34.274999999999999</v>
      </c>
      <c r="K9" s="8">
        <v>70.978999999999999</v>
      </c>
      <c r="L9" s="8">
        <v>97.620999999999995</v>
      </c>
      <c r="M9" s="8">
        <v>34.274999999999999</v>
      </c>
      <c r="N9" s="8">
        <v>70.978999999999999</v>
      </c>
      <c r="O9" s="8">
        <v>97.620999999999995</v>
      </c>
    </row>
    <row r="10" spans="1:15" ht="19.95" customHeight="1">
      <c r="A10" s="6" t="s">
        <v>41</v>
      </c>
      <c r="B10" s="6" t="s">
        <v>78</v>
      </c>
      <c r="C10" s="7">
        <v>0</v>
      </c>
      <c r="D10" s="7">
        <v>10</v>
      </c>
      <c r="E10" s="7">
        <v>109</v>
      </c>
      <c r="F10" s="7">
        <v>109</v>
      </c>
      <c r="G10" s="7">
        <v>0</v>
      </c>
      <c r="H10" s="7">
        <v>0</v>
      </c>
      <c r="I10" s="7">
        <v>0</v>
      </c>
      <c r="J10" s="8">
        <v>32.305999999999997</v>
      </c>
      <c r="K10" s="8">
        <v>65.656000000000006</v>
      </c>
      <c r="L10" s="8">
        <v>82.254000000000005</v>
      </c>
      <c r="M10" s="8">
        <v>32.305999999999997</v>
      </c>
      <c r="N10" s="8">
        <v>65.656000000000006</v>
      </c>
      <c r="O10" s="8">
        <v>82.254000000000005</v>
      </c>
    </row>
    <row r="11" spans="1:15" ht="19.95" customHeight="1">
      <c r="A11" s="6" t="s">
        <v>44</v>
      </c>
      <c r="B11" s="6" t="s">
        <v>75</v>
      </c>
      <c r="C11" s="7">
        <v>20</v>
      </c>
      <c r="D11" s="7">
        <v>20</v>
      </c>
      <c r="E11" s="7">
        <v>209</v>
      </c>
      <c r="F11" s="7">
        <v>209</v>
      </c>
      <c r="G11" s="7">
        <v>0</v>
      </c>
      <c r="H11" s="7">
        <v>0</v>
      </c>
      <c r="I11" s="7">
        <v>0</v>
      </c>
      <c r="J11" s="12">
        <v>30.71</v>
      </c>
      <c r="K11" s="8">
        <v>56.911000000000001</v>
      </c>
      <c r="L11" s="12">
        <v>84.73</v>
      </c>
      <c r="M11" s="12">
        <v>30.71</v>
      </c>
      <c r="N11" s="8">
        <v>56.911000000000001</v>
      </c>
      <c r="O11" s="12">
        <v>84.73</v>
      </c>
    </row>
    <row r="12" spans="1:15" ht="19.95" customHeight="1">
      <c r="A12" s="6" t="s">
        <v>44</v>
      </c>
      <c r="B12" s="6" t="s">
        <v>76</v>
      </c>
      <c r="C12" s="7">
        <v>22</v>
      </c>
      <c r="D12" s="7">
        <v>30</v>
      </c>
      <c r="E12" s="7">
        <v>631</v>
      </c>
      <c r="F12" s="7">
        <v>631</v>
      </c>
      <c r="G12" s="7">
        <v>0</v>
      </c>
      <c r="H12" s="7">
        <v>0</v>
      </c>
      <c r="I12" s="7">
        <v>0</v>
      </c>
      <c r="J12" s="8">
        <v>656.822</v>
      </c>
      <c r="K12" s="8">
        <v>2736.348</v>
      </c>
      <c r="L12" s="8">
        <v>4388.7629999999999</v>
      </c>
      <c r="M12" s="8">
        <v>656.822</v>
      </c>
      <c r="N12" s="8">
        <v>2736.348</v>
      </c>
      <c r="O12" s="8">
        <v>4388.7629999999999</v>
      </c>
    </row>
    <row r="13" spans="1:15" ht="19.95" customHeight="1">
      <c r="A13" s="6" t="s">
        <v>44</v>
      </c>
      <c r="B13" s="6" t="s">
        <v>77</v>
      </c>
      <c r="C13" s="7">
        <v>22</v>
      </c>
      <c r="D13" s="7">
        <v>30</v>
      </c>
      <c r="E13" s="7">
        <v>657</v>
      </c>
      <c r="F13" s="7">
        <v>580</v>
      </c>
      <c r="G13" s="7">
        <v>20</v>
      </c>
      <c r="H13" s="7">
        <v>57</v>
      </c>
      <c r="I13" s="7">
        <v>3</v>
      </c>
      <c r="J13" s="8">
        <v>7154.634</v>
      </c>
      <c r="K13" s="12">
        <v>53355.98</v>
      </c>
      <c r="L13" s="12">
        <v>54797.42</v>
      </c>
      <c r="M13" s="8">
        <v>1760.7139999999999</v>
      </c>
      <c r="N13" s="8">
        <v>4592.9229999999998</v>
      </c>
      <c r="O13" s="12">
        <v>31541.16</v>
      </c>
    </row>
    <row r="14" spans="1:15" ht="19.95" customHeight="1">
      <c r="A14" s="6" t="s">
        <v>44</v>
      </c>
      <c r="B14" s="6" t="s">
        <v>78</v>
      </c>
      <c r="C14" s="7">
        <v>0</v>
      </c>
      <c r="D14" s="7">
        <v>10</v>
      </c>
      <c r="E14" s="7">
        <v>109</v>
      </c>
      <c r="F14" s="7">
        <v>109</v>
      </c>
      <c r="G14" s="7">
        <v>0</v>
      </c>
      <c r="H14" s="7">
        <v>0</v>
      </c>
      <c r="I14" s="7">
        <v>0</v>
      </c>
      <c r="J14" s="8">
        <v>30.765000000000001</v>
      </c>
      <c r="K14" s="8">
        <v>69.656999999999996</v>
      </c>
      <c r="L14" s="8">
        <v>82.144999999999996</v>
      </c>
      <c r="M14" s="8">
        <v>30.765000000000001</v>
      </c>
      <c r="N14" s="8">
        <v>69.656999999999996</v>
      </c>
      <c r="O14" s="8">
        <v>82.144999999999996</v>
      </c>
    </row>
    <row r="15" spans="1:15" ht="19.95" customHeight="1">
      <c r="A15" s="6" t="s">
        <v>46</v>
      </c>
      <c r="B15" s="6" t="s">
        <v>75</v>
      </c>
      <c r="C15" s="7">
        <v>20</v>
      </c>
      <c r="D15" s="7">
        <v>20</v>
      </c>
      <c r="E15" s="7">
        <v>209</v>
      </c>
      <c r="F15" s="7">
        <v>209</v>
      </c>
      <c r="G15" s="7">
        <v>0</v>
      </c>
      <c r="H15" s="7">
        <v>0</v>
      </c>
      <c r="I15" s="7">
        <v>0</v>
      </c>
      <c r="J15" s="8">
        <v>31.254999999999999</v>
      </c>
      <c r="K15" s="8">
        <v>61.948999999999998</v>
      </c>
      <c r="L15" s="8">
        <v>83.113</v>
      </c>
      <c r="M15" s="8">
        <v>31.254999999999999</v>
      </c>
      <c r="N15" s="8">
        <v>61.948999999999998</v>
      </c>
      <c r="O15" s="8">
        <v>83.113</v>
      </c>
    </row>
    <row r="16" spans="1:15" ht="19.95" customHeight="1">
      <c r="A16" s="6" t="s">
        <v>46</v>
      </c>
      <c r="B16" s="6" t="s">
        <v>76</v>
      </c>
      <c r="C16" s="7">
        <v>22</v>
      </c>
      <c r="D16" s="7">
        <v>30</v>
      </c>
      <c r="E16" s="7">
        <v>630</v>
      </c>
      <c r="F16" s="7">
        <v>627</v>
      </c>
      <c r="G16" s="7">
        <v>0</v>
      </c>
      <c r="H16" s="7">
        <v>3</v>
      </c>
      <c r="I16" s="7">
        <v>0</v>
      </c>
      <c r="J16" s="8">
        <v>43.399000000000001</v>
      </c>
      <c r="K16" s="8">
        <v>105.364</v>
      </c>
      <c r="L16" s="12">
        <v>243.99</v>
      </c>
      <c r="M16" s="12">
        <v>43.53</v>
      </c>
      <c r="N16" s="8">
        <v>105.58499999999999</v>
      </c>
      <c r="O16" s="12">
        <v>244.31</v>
      </c>
    </row>
    <row r="17" spans="1:15" ht="19.95" customHeight="1">
      <c r="A17" s="6" t="s">
        <v>46</v>
      </c>
      <c r="B17" s="6" t="s">
        <v>77</v>
      </c>
      <c r="C17" s="7">
        <v>22</v>
      </c>
      <c r="D17" s="7">
        <v>30</v>
      </c>
      <c r="E17" s="7">
        <v>661</v>
      </c>
      <c r="F17" s="7">
        <v>661</v>
      </c>
      <c r="G17" s="7">
        <v>0</v>
      </c>
      <c r="H17" s="7">
        <v>0</v>
      </c>
      <c r="I17" s="7">
        <v>0</v>
      </c>
      <c r="J17" s="8">
        <v>34.094000000000001</v>
      </c>
      <c r="K17" s="8">
        <v>68.775999999999996</v>
      </c>
      <c r="L17" s="8">
        <v>101.251</v>
      </c>
      <c r="M17" s="8">
        <v>34.094000000000001</v>
      </c>
      <c r="N17" s="8">
        <v>68.775999999999996</v>
      </c>
      <c r="O17" s="8">
        <v>101.251</v>
      </c>
    </row>
    <row r="18" spans="1:15" ht="19.95" customHeight="1">
      <c r="A18" s="6" t="s">
        <v>46</v>
      </c>
      <c r="B18" s="6" t="s">
        <v>78</v>
      </c>
      <c r="C18" s="7">
        <v>0</v>
      </c>
      <c r="D18" s="7">
        <v>10</v>
      </c>
      <c r="E18" s="7">
        <v>109</v>
      </c>
      <c r="F18" s="7">
        <v>109</v>
      </c>
      <c r="G18" s="7">
        <v>0</v>
      </c>
      <c r="H18" s="7">
        <v>0</v>
      </c>
      <c r="I18" s="7">
        <v>0</v>
      </c>
      <c r="J18" s="8">
        <v>28.632999999999999</v>
      </c>
      <c r="K18" s="8">
        <v>53.204000000000001</v>
      </c>
      <c r="L18" s="8">
        <v>68.522000000000006</v>
      </c>
      <c r="M18" s="8">
        <v>28.632999999999999</v>
      </c>
      <c r="N18" s="8">
        <v>53.204000000000001</v>
      </c>
      <c r="O18" s="8">
        <v>68.522000000000006</v>
      </c>
    </row>
  </sheetData>
  <mergeCells count="1">
    <mergeCell ref="A5:H5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7365D"/>
  </sheetPr>
  <dimension ref="A2:V54"/>
  <sheetViews>
    <sheetView workbookViewId="0">
      <pane ySplit="6" topLeftCell="A13" activePane="bottomLeft" state="frozen"/>
      <selection pane="bottomLeft"/>
    </sheetView>
  </sheetViews>
  <sheetFormatPr defaultRowHeight="13.8"/>
  <cols>
    <col min="1" max="1" width="23" customWidth="1"/>
    <col min="2" max="2" width="61" customWidth="1"/>
    <col min="3" max="4" width="18" customWidth="1"/>
    <col min="5" max="6" width="16" customWidth="1"/>
    <col min="7" max="8" width="18" customWidth="1"/>
    <col min="9" max="9" width="12" customWidth="1"/>
    <col min="10" max="11" width="27" customWidth="1"/>
    <col min="16" max="16" width="22" customWidth="1"/>
    <col min="17" max="17" width="17" customWidth="1"/>
    <col min="18" max="18" width="19" customWidth="1"/>
    <col min="19" max="19" width="17" customWidth="1"/>
    <col min="20" max="20" width="19" customWidth="1"/>
    <col min="21" max="21" width="17" customWidth="1"/>
    <col min="22" max="22" width="19" customWidth="1"/>
  </cols>
  <sheetData>
    <row r="2" spans="1:22" ht="24" customHeight="1">
      <c r="A2" s="1" t="s">
        <v>79</v>
      </c>
    </row>
    <row r="3" spans="1:22" ht="22.05" customHeight="1">
      <c r="A3" s="2" t="s">
        <v>80</v>
      </c>
      <c r="P3" s="41" t="s">
        <v>81</v>
      </c>
      <c r="Q3" s="42" t="s">
        <v>81</v>
      </c>
      <c r="R3" s="42" t="s">
        <v>81</v>
      </c>
      <c r="S3" s="42" t="s">
        <v>81</v>
      </c>
      <c r="T3" s="42" t="s">
        <v>81</v>
      </c>
      <c r="U3" s="42" t="s">
        <v>81</v>
      </c>
      <c r="V3" s="43" t="s">
        <v>81</v>
      </c>
    </row>
    <row r="4" spans="1:22" ht="48" customHeight="1">
      <c r="A4" s="3"/>
      <c r="B4" s="3"/>
      <c r="C4" s="3"/>
      <c r="D4" s="3"/>
      <c r="E4" s="3"/>
      <c r="F4" s="3"/>
      <c r="G4" s="3"/>
      <c r="H4" s="3"/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</row>
    <row r="5" spans="1:22" ht="19.95" customHeight="1">
      <c r="A5" s="41" t="s">
        <v>89</v>
      </c>
      <c r="B5" s="42" t="s">
        <v>89</v>
      </c>
      <c r="C5" s="42" t="s">
        <v>89</v>
      </c>
      <c r="D5" s="42" t="s">
        <v>89</v>
      </c>
      <c r="E5" s="42" t="s">
        <v>89</v>
      </c>
      <c r="F5" s="42" t="s">
        <v>89</v>
      </c>
      <c r="G5" s="42" t="s">
        <v>89</v>
      </c>
      <c r="H5" s="42" t="s">
        <v>89</v>
      </c>
      <c r="I5" s="42" t="s">
        <v>89</v>
      </c>
      <c r="J5" s="42" t="s">
        <v>89</v>
      </c>
      <c r="K5" s="43" t="s">
        <v>89</v>
      </c>
      <c r="P5" s="7">
        <v>-60</v>
      </c>
      <c r="Q5" s="7">
        <v>2</v>
      </c>
      <c r="R5" s="7">
        <v>1</v>
      </c>
      <c r="S5" s="7">
        <v>2</v>
      </c>
      <c r="T5" s="7">
        <v>1</v>
      </c>
      <c r="U5" s="7">
        <v>2</v>
      </c>
      <c r="V5" s="7">
        <v>1</v>
      </c>
    </row>
    <row r="6" spans="1:22" ht="19.95" customHeight="1">
      <c r="A6" s="5" t="s">
        <v>90</v>
      </c>
      <c r="B6" s="5" t="s">
        <v>91</v>
      </c>
      <c r="C6" s="5" t="s">
        <v>92</v>
      </c>
      <c r="D6" s="5" t="s">
        <v>93</v>
      </c>
      <c r="E6" s="5" t="s">
        <v>94</v>
      </c>
      <c r="F6" s="5" t="s">
        <v>95</v>
      </c>
      <c r="G6" s="5" t="s">
        <v>96</v>
      </c>
      <c r="H6" s="5" t="s">
        <v>97</v>
      </c>
      <c r="I6" s="5" t="s">
        <v>98</v>
      </c>
      <c r="J6" s="5" t="s">
        <v>99</v>
      </c>
      <c r="K6" s="5" t="s">
        <v>100</v>
      </c>
      <c r="P6" s="7">
        <v>-55</v>
      </c>
      <c r="Q6" s="7">
        <v>2</v>
      </c>
      <c r="R6" s="7">
        <v>1</v>
      </c>
      <c r="S6" s="7">
        <v>2</v>
      </c>
      <c r="T6" s="7">
        <v>1</v>
      </c>
      <c r="U6" s="7">
        <v>2</v>
      </c>
      <c r="V6" s="7">
        <v>1</v>
      </c>
    </row>
    <row r="7" spans="1:22" ht="19.95" customHeight="1">
      <c r="A7" s="6" t="s">
        <v>41</v>
      </c>
      <c r="B7" s="7">
        <v>1</v>
      </c>
      <c r="C7" s="7">
        <v>1</v>
      </c>
      <c r="D7" s="7">
        <v>5</v>
      </c>
      <c r="E7" s="7">
        <v>1</v>
      </c>
      <c r="F7" s="7">
        <v>5</v>
      </c>
      <c r="G7" s="8">
        <v>39.386000000000003</v>
      </c>
      <c r="H7" s="8">
        <v>39.386000000000003</v>
      </c>
      <c r="I7" s="23">
        <v>0.7</v>
      </c>
      <c r="J7" s="6" t="s">
        <v>101</v>
      </c>
      <c r="K7" s="6" t="s">
        <v>101</v>
      </c>
      <c r="P7" s="7">
        <v>-50</v>
      </c>
      <c r="Q7" s="7">
        <v>1</v>
      </c>
      <c r="R7" s="7">
        <v>1</v>
      </c>
      <c r="S7" s="7">
        <v>1</v>
      </c>
      <c r="T7" s="7">
        <v>1</v>
      </c>
      <c r="U7" s="7">
        <v>1</v>
      </c>
      <c r="V7" s="7">
        <v>1</v>
      </c>
    </row>
    <row r="8" spans="1:22" ht="19.95" customHeight="1">
      <c r="A8" s="6" t="s">
        <v>44</v>
      </c>
      <c r="B8" s="7">
        <v>1</v>
      </c>
      <c r="C8" s="7">
        <v>1</v>
      </c>
      <c r="D8" s="7">
        <v>5</v>
      </c>
      <c r="E8" s="7">
        <v>1</v>
      </c>
      <c r="F8" s="7">
        <v>5</v>
      </c>
      <c r="G8" s="8">
        <v>24.192</v>
      </c>
      <c r="H8" s="8">
        <v>24.192</v>
      </c>
      <c r="I8" s="23">
        <v>0.7</v>
      </c>
      <c r="J8" s="6" t="s">
        <v>102</v>
      </c>
      <c r="K8" s="6" t="s">
        <v>102</v>
      </c>
      <c r="P8" s="7">
        <v>-45</v>
      </c>
      <c r="Q8" s="7">
        <v>1</v>
      </c>
      <c r="R8" s="7">
        <v>1</v>
      </c>
      <c r="S8" s="7">
        <v>1</v>
      </c>
      <c r="T8" s="7">
        <v>1</v>
      </c>
      <c r="U8" s="7">
        <v>1</v>
      </c>
      <c r="V8" s="7">
        <v>1</v>
      </c>
    </row>
    <row r="9" spans="1:22" ht="19.95" customHeight="1">
      <c r="A9" s="6" t="s">
        <v>46</v>
      </c>
      <c r="B9" s="7">
        <v>1</v>
      </c>
      <c r="C9" s="7">
        <v>1</v>
      </c>
      <c r="D9" s="7">
        <v>5</v>
      </c>
      <c r="E9" s="7">
        <v>1</v>
      </c>
      <c r="F9" s="7">
        <v>5</v>
      </c>
      <c r="G9" s="8">
        <v>24.257999999999999</v>
      </c>
      <c r="H9" s="8">
        <v>24.257999999999999</v>
      </c>
      <c r="I9" s="23">
        <v>0.7</v>
      </c>
      <c r="J9" s="6" t="s">
        <v>103</v>
      </c>
      <c r="K9" s="6" t="s">
        <v>103</v>
      </c>
      <c r="P9" s="7">
        <v>-40</v>
      </c>
      <c r="Q9" s="7">
        <v>1</v>
      </c>
      <c r="R9" s="7">
        <v>1</v>
      </c>
      <c r="S9" s="7">
        <v>1</v>
      </c>
      <c r="T9" s="7">
        <v>1</v>
      </c>
      <c r="U9" s="7">
        <v>1</v>
      </c>
      <c r="V9" s="7">
        <v>1</v>
      </c>
    </row>
    <row r="10" spans="1:22" ht="19.95" customHeight="1">
      <c r="P10" s="7">
        <v>-35</v>
      </c>
      <c r="Q10" s="7">
        <v>1</v>
      </c>
      <c r="R10" s="7">
        <v>1</v>
      </c>
      <c r="S10" s="7">
        <v>1</v>
      </c>
      <c r="T10" s="7">
        <v>1</v>
      </c>
      <c r="U10" s="7">
        <v>1</v>
      </c>
      <c r="V10" s="7">
        <v>1</v>
      </c>
    </row>
    <row r="11" spans="1:22" ht="19.95" customHeight="1">
      <c r="P11" s="7">
        <v>-30</v>
      </c>
      <c r="Q11" s="7">
        <v>1</v>
      </c>
      <c r="R11" s="7">
        <v>1</v>
      </c>
      <c r="S11" s="7">
        <v>1</v>
      </c>
      <c r="T11" s="7">
        <v>1</v>
      </c>
      <c r="U11" s="7">
        <v>1</v>
      </c>
      <c r="V11" s="7">
        <v>1</v>
      </c>
    </row>
    <row r="12" spans="1:22" ht="19.95" customHeight="1">
      <c r="A12" s="41" t="s">
        <v>104</v>
      </c>
      <c r="B12" s="43" t="s">
        <v>104</v>
      </c>
      <c r="P12" s="7">
        <v>-25</v>
      </c>
      <c r="Q12" s="7">
        <v>1</v>
      </c>
      <c r="R12" s="7">
        <v>1</v>
      </c>
      <c r="S12" s="7">
        <v>1</v>
      </c>
      <c r="T12" s="7">
        <v>1</v>
      </c>
      <c r="U12" s="7">
        <v>1</v>
      </c>
      <c r="V12" s="7">
        <v>1</v>
      </c>
    </row>
    <row r="13" spans="1:22" ht="19.95" customHeight="1">
      <c r="A13" s="5" t="s">
        <v>105</v>
      </c>
      <c r="B13" s="5" t="s">
        <v>106</v>
      </c>
      <c r="P13" s="7">
        <v>-20</v>
      </c>
      <c r="Q13" s="7">
        <v>1</v>
      </c>
      <c r="R13" s="7">
        <v>1</v>
      </c>
      <c r="S13" s="7">
        <v>1</v>
      </c>
      <c r="T13" s="7">
        <v>1</v>
      </c>
      <c r="U13" s="7">
        <v>1</v>
      </c>
      <c r="V13" s="7">
        <v>1</v>
      </c>
    </row>
    <row r="14" spans="1:22" ht="19.95" customHeight="1">
      <c r="A14" s="6" t="s">
        <v>107</v>
      </c>
      <c r="B14" s="6" t="s">
        <v>108</v>
      </c>
      <c r="P14" s="7">
        <v>-15</v>
      </c>
      <c r="Q14" s="7">
        <v>1</v>
      </c>
      <c r="R14" s="7">
        <v>1</v>
      </c>
      <c r="S14" s="7">
        <v>1</v>
      </c>
      <c r="T14" s="7">
        <v>1</v>
      </c>
      <c r="U14" s="7">
        <v>1</v>
      </c>
      <c r="V14" s="7">
        <v>1</v>
      </c>
    </row>
    <row r="15" spans="1:22" ht="19.95" customHeight="1">
      <c r="A15" s="6" t="s">
        <v>109</v>
      </c>
      <c r="B15" s="6" t="s">
        <v>110</v>
      </c>
      <c r="P15" s="7">
        <v>-10</v>
      </c>
      <c r="Q15" s="7">
        <v>1</v>
      </c>
      <c r="R15" s="7">
        <v>1</v>
      </c>
      <c r="S15" s="7">
        <v>1</v>
      </c>
      <c r="T15" s="7">
        <v>1</v>
      </c>
      <c r="U15" s="7">
        <v>1</v>
      </c>
      <c r="V15" s="7">
        <v>1</v>
      </c>
    </row>
    <row r="16" spans="1:22" ht="19.95" customHeight="1">
      <c r="A16" s="6" t="s">
        <v>111</v>
      </c>
      <c r="B16" s="7">
        <v>1</v>
      </c>
      <c r="P16" s="7">
        <v>-5</v>
      </c>
      <c r="Q16" s="7">
        <v>1</v>
      </c>
      <c r="R16" s="7">
        <v>1</v>
      </c>
      <c r="S16" s="7">
        <v>1</v>
      </c>
      <c r="T16" s="7">
        <v>1</v>
      </c>
      <c r="U16" s="7">
        <v>1</v>
      </c>
      <c r="V16" s="7">
        <v>1</v>
      </c>
    </row>
    <row r="17" spans="1:22" ht="19.95" customHeight="1">
      <c r="A17" s="6" t="s">
        <v>112</v>
      </c>
      <c r="B17" s="7">
        <v>5</v>
      </c>
      <c r="P17" s="7">
        <v>0</v>
      </c>
      <c r="Q17" s="7">
        <v>1</v>
      </c>
      <c r="R17" s="7">
        <v>1</v>
      </c>
      <c r="S17" s="7">
        <v>1</v>
      </c>
      <c r="T17" s="7">
        <v>1</v>
      </c>
      <c r="U17" s="7">
        <v>1</v>
      </c>
      <c r="V17" s="7">
        <v>1</v>
      </c>
    </row>
    <row r="18" spans="1:22" ht="19.95" customHeight="1">
      <c r="A18" s="6" t="s">
        <v>113</v>
      </c>
      <c r="B18" s="23">
        <v>0.7</v>
      </c>
      <c r="P18" s="7">
        <v>5</v>
      </c>
      <c r="Q18" s="7">
        <v>1</v>
      </c>
      <c r="R18" s="7">
        <v>1</v>
      </c>
      <c r="S18" s="7">
        <v>1</v>
      </c>
      <c r="T18" s="7">
        <v>1</v>
      </c>
      <c r="U18" s="7">
        <v>1</v>
      </c>
      <c r="V18" s="7">
        <v>1</v>
      </c>
    </row>
    <row r="19" spans="1:22" ht="19.95" customHeight="1">
      <c r="A19" s="6" t="s">
        <v>114</v>
      </c>
      <c r="B19" s="6" t="s">
        <v>115</v>
      </c>
      <c r="P19" s="7">
        <v>10</v>
      </c>
      <c r="Q19" s="7">
        <v>1</v>
      </c>
      <c r="R19" s="7">
        <v>1</v>
      </c>
      <c r="S19" s="7">
        <v>1</v>
      </c>
      <c r="T19" s="7">
        <v>1</v>
      </c>
      <c r="U19" s="7">
        <v>1</v>
      </c>
      <c r="V19" s="7">
        <v>1</v>
      </c>
    </row>
    <row r="20" spans="1:22" ht="19.95" customHeight="1">
      <c r="A20" s="6" t="s">
        <v>116</v>
      </c>
      <c r="B20" s="6" t="s">
        <v>117</v>
      </c>
      <c r="P20" s="7">
        <v>15</v>
      </c>
      <c r="Q20" s="7">
        <v>1</v>
      </c>
      <c r="R20" s="7">
        <v>1</v>
      </c>
      <c r="S20" s="7">
        <v>1</v>
      </c>
      <c r="T20" s="7">
        <v>1</v>
      </c>
      <c r="U20" s="7">
        <v>1</v>
      </c>
      <c r="V20" s="7">
        <v>1</v>
      </c>
    </row>
    <row r="21" spans="1:22" ht="19.95" customHeight="1">
      <c r="P21" s="7">
        <v>20</v>
      </c>
      <c r="Q21" s="7">
        <v>1</v>
      </c>
      <c r="R21" s="7">
        <v>1</v>
      </c>
      <c r="S21" s="7">
        <v>1</v>
      </c>
      <c r="T21" s="7">
        <v>1</v>
      </c>
      <c r="U21" s="7">
        <v>1</v>
      </c>
      <c r="V21" s="7">
        <v>1</v>
      </c>
    </row>
    <row r="22" spans="1:22" ht="19.95" customHeight="1">
      <c r="P22" s="7">
        <v>25</v>
      </c>
      <c r="Q22" s="7">
        <v>1</v>
      </c>
      <c r="R22" s="7">
        <v>1</v>
      </c>
      <c r="S22" s="7">
        <v>1</v>
      </c>
      <c r="T22" s="7">
        <v>4</v>
      </c>
      <c r="U22" s="7">
        <v>1</v>
      </c>
      <c r="V22" s="7">
        <v>2</v>
      </c>
    </row>
    <row r="23" spans="1:22" ht="19.95" customHeight="1">
      <c r="P23" s="7">
        <v>30</v>
      </c>
      <c r="Q23" s="7">
        <v>1</v>
      </c>
      <c r="R23" s="7">
        <v>1</v>
      </c>
      <c r="S23" s="7">
        <v>1</v>
      </c>
      <c r="T23" s="7">
        <v>4</v>
      </c>
      <c r="U23" s="7">
        <v>1</v>
      </c>
      <c r="V23" s="7">
        <v>2</v>
      </c>
    </row>
    <row r="24" spans="1:22" ht="19.95" customHeight="1">
      <c r="P24" s="7">
        <v>35</v>
      </c>
      <c r="Q24" s="7">
        <v>1</v>
      </c>
      <c r="R24" s="7">
        <v>1</v>
      </c>
      <c r="S24" s="7">
        <v>1</v>
      </c>
      <c r="T24" s="7">
        <v>4</v>
      </c>
      <c r="U24" s="7">
        <v>1</v>
      </c>
      <c r="V24" s="7">
        <v>2</v>
      </c>
    </row>
    <row r="25" spans="1:22" ht="19.95" customHeight="1">
      <c r="P25" s="7">
        <v>40</v>
      </c>
      <c r="Q25" s="7">
        <v>1</v>
      </c>
      <c r="R25" s="7">
        <v>5</v>
      </c>
      <c r="S25" s="7">
        <v>4</v>
      </c>
      <c r="T25" s="7">
        <v>5</v>
      </c>
      <c r="U25" s="7">
        <v>2</v>
      </c>
      <c r="V25" s="7">
        <v>5</v>
      </c>
    </row>
    <row r="26" spans="1:22" ht="19.95" customHeight="1">
      <c r="P26" s="7">
        <v>45</v>
      </c>
      <c r="Q26" s="7">
        <v>1</v>
      </c>
      <c r="R26" s="7">
        <v>5</v>
      </c>
      <c r="S26" s="7">
        <v>4</v>
      </c>
      <c r="T26" s="7">
        <v>5</v>
      </c>
      <c r="U26" s="7">
        <v>2</v>
      </c>
      <c r="V26" s="7">
        <v>5</v>
      </c>
    </row>
    <row r="27" spans="1:22" ht="19.95" customHeight="1">
      <c r="P27" s="7">
        <v>50</v>
      </c>
      <c r="Q27" s="7">
        <v>1</v>
      </c>
      <c r="R27" s="7">
        <v>5</v>
      </c>
      <c r="S27" s="7">
        <v>4</v>
      </c>
      <c r="T27" s="7">
        <v>5</v>
      </c>
      <c r="U27" s="7">
        <v>2</v>
      </c>
      <c r="V27" s="7">
        <v>5</v>
      </c>
    </row>
    <row r="28" spans="1:22" ht="19.95" customHeight="1">
      <c r="P28" s="7">
        <v>55</v>
      </c>
      <c r="Q28" s="7">
        <v>5</v>
      </c>
      <c r="R28" s="7">
        <v>5</v>
      </c>
      <c r="S28" s="7">
        <v>5</v>
      </c>
      <c r="T28" s="7">
        <v>5</v>
      </c>
      <c r="U28" s="7">
        <v>5</v>
      </c>
      <c r="V28" s="7">
        <v>5</v>
      </c>
    </row>
    <row r="29" spans="1:22" ht="19.95" customHeight="1">
      <c r="P29" s="7">
        <v>60</v>
      </c>
      <c r="Q29" s="7">
        <v>5</v>
      </c>
      <c r="R29" s="7">
        <v>5</v>
      </c>
      <c r="S29" s="7">
        <v>5</v>
      </c>
      <c r="T29" s="7">
        <v>5</v>
      </c>
      <c r="U29" s="7">
        <v>5</v>
      </c>
      <c r="V29" s="7">
        <v>5</v>
      </c>
    </row>
    <row r="30" spans="1:22" ht="19.95" customHeight="1">
      <c r="P30" s="7">
        <v>65</v>
      </c>
      <c r="Q30" s="7">
        <v>5</v>
      </c>
      <c r="R30" s="7">
        <v>5</v>
      </c>
      <c r="S30" s="7">
        <v>5</v>
      </c>
      <c r="T30" s="7">
        <v>5</v>
      </c>
      <c r="U30" s="7">
        <v>5</v>
      </c>
      <c r="V30" s="7">
        <v>5</v>
      </c>
    </row>
    <row r="31" spans="1:22" ht="19.95" customHeight="1">
      <c r="P31" s="7">
        <v>70</v>
      </c>
      <c r="Q31" s="7">
        <v>5</v>
      </c>
      <c r="R31" s="7">
        <v>5</v>
      </c>
      <c r="S31" s="7">
        <v>5</v>
      </c>
      <c r="T31" s="7">
        <v>5</v>
      </c>
      <c r="U31" s="7">
        <v>5</v>
      </c>
      <c r="V31" s="7">
        <v>5</v>
      </c>
    </row>
    <row r="32" spans="1:22" ht="19.95" customHeight="1">
      <c r="P32" s="7">
        <v>75</v>
      </c>
      <c r="Q32" s="7">
        <v>5</v>
      </c>
      <c r="R32" s="7">
        <v>5</v>
      </c>
      <c r="S32" s="7">
        <v>5</v>
      </c>
      <c r="T32" s="7">
        <v>5</v>
      </c>
      <c r="U32" s="7">
        <v>5</v>
      </c>
      <c r="V32" s="7">
        <v>5</v>
      </c>
    </row>
    <row r="33" spans="16:22" ht="19.95" customHeight="1">
      <c r="P33" s="7">
        <v>80</v>
      </c>
      <c r="Q33" s="7">
        <v>5</v>
      </c>
      <c r="R33" s="7">
        <v>5</v>
      </c>
      <c r="S33" s="7">
        <v>5</v>
      </c>
      <c r="T33" s="7">
        <v>5</v>
      </c>
      <c r="U33" s="7">
        <v>5</v>
      </c>
      <c r="V33" s="7">
        <v>5</v>
      </c>
    </row>
    <row r="34" spans="16:22" ht="19.95" customHeight="1">
      <c r="P34" s="7">
        <v>85</v>
      </c>
      <c r="Q34" s="7">
        <v>5</v>
      </c>
      <c r="R34" s="7">
        <v>5</v>
      </c>
      <c r="S34" s="7">
        <v>5</v>
      </c>
      <c r="T34" s="7">
        <v>5</v>
      </c>
      <c r="U34" s="7">
        <v>5</v>
      </c>
      <c r="V34" s="7">
        <v>5</v>
      </c>
    </row>
    <row r="35" spans="16:22" ht="19.95" customHeight="1">
      <c r="P35" s="7">
        <v>90</v>
      </c>
      <c r="Q35" s="7">
        <v>5</v>
      </c>
      <c r="R35" s="7">
        <v>5</v>
      </c>
      <c r="S35" s="7">
        <v>5</v>
      </c>
      <c r="T35" s="7">
        <v>5</v>
      </c>
      <c r="U35" s="7">
        <v>5</v>
      </c>
      <c r="V35" s="7">
        <v>5</v>
      </c>
    </row>
    <row r="36" spans="16:22" ht="19.95" customHeight="1">
      <c r="P36" s="7">
        <v>95</v>
      </c>
      <c r="Q36" s="7">
        <v>5</v>
      </c>
      <c r="R36" s="7">
        <v>5</v>
      </c>
      <c r="S36" s="7">
        <v>5</v>
      </c>
      <c r="T36" s="7">
        <v>5</v>
      </c>
      <c r="U36" s="7">
        <v>5</v>
      </c>
      <c r="V36" s="7">
        <v>5</v>
      </c>
    </row>
    <row r="37" spans="16:22" ht="19.95" customHeight="1">
      <c r="P37" s="7">
        <v>100</v>
      </c>
      <c r="Q37" s="7">
        <v>5</v>
      </c>
      <c r="R37" s="7">
        <v>5</v>
      </c>
      <c r="S37" s="7">
        <v>5</v>
      </c>
      <c r="T37" s="7">
        <v>5</v>
      </c>
      <c r="U37" s="7">
        <v>5</v>
      </c>
      <c r="V37" s="7">
        <v>5</v>
      </c>
    </row>
    <row r="38" spans="16:22" ht="19.95" customHeight="1">
      <c r="P38" s="7">
        <v>105</v>
      </c>
      <c r="Q38" s="7">
        <v>5</v>
      </c>
      <c r="R38" s="7">
        <v>5</v>
      </c>
      <c r="S38" s="7">
        <v>5</v>
      </c>
      <c r="T38" s="7">
        <v>5</v>
      </c>
      <c r="U38" s="7">
        <v>5</v>
      </c>
      <c r="V38" s="7">
        <v>5</v>
      </c>
    </row>
    <row r="39" spans="16:22" ht="19.95" customHeight="1">
      <c r="P39" s="7">
        <v>110</v>
      </c>
      <c r="Q39" s="7">
        <v>5</v>
      </c>
      <c r="R39" s="7">
        <v>5</v>
      </c>
      <c r="S39" s="7">
        <v>5</v>
      </c>
      <c r="T39" s="7">
        <v>5</v>
      </c>
      <c r="U39" s="7">
        <v>5</v>
      </c>
      <c r="V39" s="7">
        <v>5</v>
      </c>
    </row>
    <row r="40" spans="16:22" ht="19.95" customHeight="1">
      <c r="P40" s="7">
        <v>115</v>
      </c>
      <c r="Q40" s="7">
        <v>5</v>
      </c>
      <c r="R40" s="7">
        <v>5</v>
      </c>
      <c r="S40" s="7">
        <v>5</v>
      </c>
      <c r="T40" s="7">
        <v>5</v>
      </c>
      <c r="U40" s="7">
        <v>5</v>
      </c>
      <c r="V40" s="7">
        <v>5</v>
      </c>
    </row>
    <row r="41" spans="16:22" ht="19.95" customHeight="1">
      <c r="P41" s="7">
        <v>120</v>
      </c>
      <c r="Q41" s="7">
        <v>5</v>
      </c>
      <c r="R41" s="7">
        <v>5</v>
      </c>
      <c r="S41" s="7">
        <v>5</v>
      </c>
      <c r="T41" s="7">
        <v>5</v>
      </c>
      <c r="U41" s="7">
        <v>5</v>
      </c>
      <c r="V41" s="7">
        <v>5</v>
      </c>
    </row>
    <row r="42" spans="16:22" ht="19.95" customHeight="1">
      <c r="P42" s="7">
        <v>125</v>
      </c>
      <c r="Q42" s="7">
        <v>5</v>
      </c>
      <c r="R42" s="7">
        <v>5</v>
      </c>
      <c r="S42" s="7">
        <v>5</v>
      </c>
      <c r="T42" s="7">
        <v>5</v>
      </c>
      <c r="U42" s="7">
        <v>5</v>
      </c>
      <c r="V42" s="7">
        <v>5</v>
      </c>
    </row>
    <row r="43" spans="16:22" ht="19.95" customHeight="1">
      <c r="P43" s="7">
        <v>130</v>
      </c>
      <c r="Q43" s="7">
        <v>5</v>
      </c>
      <c r="R43" s="7">
        <v>5</v>
      </c>
      <c r="S43" s="7">
        <v>5</v>
      </c>
      <c r="T43" s="7">
        <v>5</v>
      </c>
      <c r="U43" s="7">
        <v>5</v>
      </c>
      <c r="V43" s="7">
        <v>5</v>
      </c>
    </row>
    <row r="44" spans="16:22" ht="19.95" customHeight="1">
      <c r="P44" s="7">
        <v>135</v>
      </c>
      <c r="Q44" s="7">
        <v>5</v>
      </c>
      <c r="R44" s="7">
        <v>5</v>
      </c>
      <c r="S44" s="7">
        <v>5</v>
      </c>
      <c r="T44" s="7">
        <v>5</v>
      </c>
      <c r="U44" s="7">
        <v>5</v>
      </c>
      <c r="V44" s="7">
        <v>5</v>
      </c>
    </row>
    <row r="45" spans="16:22" ht="19.95" customHeight="1">
      <c r="P45" s="7">
        <v>140</v>
      </c>
      <c r="Q45" s="7">
        <v>5</v>
      </c>
      <c r="R45" s="7">
        <v>5</v>
      </c>
      <c r="S45" s="7">
        <v>5</v>
      </c>
      <c r="T45" s="7">
        <v>5</v>
      </c>
      <c r="U45" s="7">
        <v>5</v>
      </c>
      <c r="V45" s="7">
        <v>5</v>
      </c>
    </row>
    <row r="46" spans="16:22" ht="19.95" customHeight="1">
      <c r="P46" s="7">
        <v>145</v>
      </c>
      <c r="Q46" s="7">
        <v>5</v>
      </c>
      <c r="R46" s="7">
        <v>5</v>
      </c>
      <c r="S46" s="7">
        <v>5</v>
      </c>
      <c r="T46" s="7">
        <v>5</v>
      </c>
      <c r="U46" s="7">
        <v>5</v>
      </c>
      <c r="V46" s="7">
        <v>5</v>
      </c>
    </row>
    <row r="47" spans="16:22" ht="19.95" customHeight="1">
      <c r="P47" s="7">
        <v>150</v>
      </c>
      <c r="Q47" s="7">
        <v>5</v>
      </c>
      <c r="R47" s="7">
        <v>5</v>
      </c>
      <c r="S47" s="7">
        <v>5</v>
      </c>
      <c r="T47" s="7">
        <v>5</v>
      </c>
      <c r="U47" s="7">
        <v>5</v>
      </c>
      <c r="V47" s="7">
        <v>5</v>
      </c>
    </row>
    <row r="48" spans="16:22" ht="19.95" customHeight="1">
      <c r="P48" s="7">
        <v>155</v>
      </c>
      <c r="Q48" s="7">
        <v>5</v>
      </c>
      <c r="R48" s="7">
        <v>5</v>
      </c>
      <c r="S48" s="7">
        <v>5</v>
      </c>
      <c r="T48" s="7">
        <v>5</v>
      </c>
      <c r="U48" s="7">
        <v>5</v>
      </c>
      <c r="V48" s="7">
        <v>5</v>
      </c>
    </row>
    <row r="49" spans="16:22" ht="19.95" customHeight="1">
      <c r="P49" s="7">
        <v>160</v>
      </c>
      <c r="Q49" s="7">
        <v>5</v>
      </c>
      <c r="R49" s="7">
        <v>5</v>
      </c>
      <c r="S49" s="7">
        <v>5</v>
      </c>
      <c r="T49" s="7">
        <v>5</v>
      </c>
      <c r="U49" s="7">
        <v>5</v>
      </c>
      <c r="V49" s="7">
        <v>5</v>
      </c>
    </row>
    <row r="50" spans="16:22" ht="19.95" customHeight="1">
      <c r="P50" s="7">
        <v>165</v>
      </c>
      <c r="Q50" s="7"/>
      <c r="R50" s="7"/>
      <c r="S50" s="7">
        <v>5</v>
      </c>
      <c r="T50" s="7">
        <v>5</v>
      </c>
      <c r="U50" s="7"/>
      <c r="V50" s="7"/>
    </row>
    <row r="51" spans="16:22" ht="19.95" customHeight="1">
      <c r="P51" s="7">
        <v>170</v>
      </c>
      <c r="Q51" s="7"/>
      <c r="R51" s="7"/>
      <c r="S51" s="7">
        <v>5</v>
      </c>
      <c r="T51" s="7">
        <v>5</v>
      </c>
      <c r="U51" s="7"/>
      <c r="V51" s="7"/>
    </row>
    <row r="52" spans="16:22" ht="19.95" customHeight="1">
      <c r="P52" s="7">
        <v>175</v>
      </c>
      <c r="Q52" s="7"/>
      <c r="R52" s="7"/>
      <c r="S52" s="7">
        <v>5</v>
      </c>
      <c r="T52" s="7">
        <v>5</v>
      </c>
      <c r="U52" s="7"/>
      <c r="V52" s="7"/>
    </row>
    <row r="53" spans="16:22" ht="19.95" customHeight="1">
      <c r="P53" s="7">
        <v>180</v>
      </c>
      <c r="Q53" s="7"/>
      <c r="R53" s="7"/>
      <c r="S53" s="7">
        <v>5</v>
      </c>
      <c r="T53" s="7">
        <v>5</v>
      </c>
      <c r="U53" s="7"/>
      <c r="V53" s="7"/>
    </row>
    <row r="54" spans="16:22" ht="19.95" customHeight="1">
      <c r="P54" s="7">
        <v>185</v>
      </c>
      <c r="Q54" s="7"/>
      <c r="R54" s="7"/>
      <c r="S54" s="7">
        <v>5</v>
      </c>
      <c r="T54" s="7">
        <v>5</v>
      </c>
      <c r="U54" s="7"/>
      <c r="V54" s="7"/>
    </row>
  </sheetData>
  <mergeCells count="3">
    <mergeCell ref="A5:K5"/>
    <mergeCell ref="A12:B12"/>
    <mergeCell ref="P3:V3"/>
  </mergeCells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7365D"/>
  </sheetPr>
  <dimension ref="A2:M43"/>
  <sheetViews>
    <sheetView workbookViewId="0">
      <pane ySplit="6" topLeftCell="A7" activePane="bottomLeft" state="frozen"/>
      <selection pane="bottomLeft"/>
    </sheetView>
  </sheetViews>
  <sheetFormatPr defaultRowHeight="13.8"/>
  <cols>
    <col min="1" max="1" width="20" customWidth="1"/>
    <col min="2" max="2" width="36" customWidth="1"/>
    <col min="3" max="3" width="23" customWidth="1"/>
    <col min="4" max="5" width="15" customWidth="1"/>
    <col min="6" max="6" width="18" customWidth="1"/>
    <col min="7" max="8" width="15" customWidth="1"/>
    <col min="9" max="9" width="20" customWidth="1"/>
    <col min="10" max="10" width="45" customWidth="1"/>
    <col min="12" max="12" width="22" customWidth="1"/>
    <col min="13" max="13" width="18" customWidth="1"/>
  </cols>
  <sheetData>
    <row r="2" spans="1:10" ht="24" customHeight="1">
      <c r="A2" s="1" t="s">
        <v>118</v>
      </c>
    </row>
    <row r="3" spans="1:10" ht="19.95" customHeight="1">
      <c r="A3" s="2" t="s">
        <v>119</v>
      </c>
    </row>
    <row r="4" spans="1:10">
      <c r="A4" s="3"/>
      <c r="B4" s="3"/>
      <c r="C4" s="3"/>
      <c r="D4" s="3"/>
      <c r="E4" s="3"/>
      <c r="F4" s="3"/>
      <c r="G4" s="3"/>
      <c r="H4" s="3"/>
    </row>
    <row r="5" spans="1:10" ht="22.05" customHeight="1">
      <c r="A5" s="41" t="s">
        <v>120</v>
      </c>
      <c r="B5" s="42" t="s">
        <v>120</v>
      </c>
      <c r="C5" s="42" t="s">
        <v>120</v>
      </c>
      <c r="D5" s="42" t="s">
        <v>120</v>
      </c>
      <c r="E5" s="42" t="s">
        <v>120</v>
      </c>
      <c r="F5" s="42" t="s">
        <v>120</v>
      </c>
      <c r="G5" s="42" t="s">
        <v>120</v>
      </c>
      <c r="H5" s="42" t="s">
        <v>120</v>
      </c>
      <c r="I5" s="42" t="s">
        <v>120</v>
      </c>
      <c r="J5" s="43" t="s">
        <v>120</v>
      </c>
    </row>
    <row r="6" spans="1:10" ht="48" customHeight="1">
      <c r="A6" s="5" t="s">
        <v>121</v>
      </c>
      <c r="B6" s="5" t="s">
        <v>122</v>
      </c>
      <c r="C6" s="5" t="s">
        <v>123</v>
      </c>
      <c r="D6" s="5" t="s">
        <v>124</v>
      </c>
      <c r="E6" s="5" t="s">
        <v>125</v>
      </c>
      <c r="F6" s="5" t="s">
        <v>126</v>
      </c>
      <c r="G6" s="5" t="s">
        <v>127</v>
      </c>
      <c r="H6" s="5" t="s">
        <v>128</v>
      </c>
      <c r="I6" s="5" t="s">
        <v>129</v>
      </c>
      <c r="J6" s="5" t="s">
        <v>130</v>
      </c>
    </row>
    <row r="7" spans="1:10" ht="19.95" customHeight="1">
      <c r="A7" s="6" t="s">
        <v>131</v>
      </c>
      <c r="B7" s="6" t="s">
        <v>132</v>
      </c>
      <c r="C7" s="6" t="s">
        <v>133</v>
      </c>
      <c r="D7" s="8">
        <v>10.276896000000001</v>
      </c>
      <c r="E7" s="8">
        <v>16.713039999999999</v>
      </c>
      <c r="F7" s="24">
        <f t="shared" ref="F7:F22" si="0">IF(D7=0,"n.a.",E7/D7-1)</f>
        <v>0.62627314706697423</v>
      </c>
      <c r="G7" s="8">
        <v>9.8026239999999998</v>
      </c>
      <c r="H7" s="8">
        <v>17.878834000000001</v>
      </c>
      <c r="I7" s="24">
        <f t="shared" ref="I7:I22" si="1">IF(G7=0,"n.a.",H7/G7-1)</f>
        <v>0.82388246249167585</v>
      </c>
      <c r="J7" s="6" t="s">
        <v>134</v>
      </c>
    </row>
    <row r="8" spans="1:10" ht="19.95" customHeight="1">
      <c r="A8" s="6" t="s">
        <v>131</v>
      </c>
      <c r="B8" s="6" t="s">
        <v>135</v>
      </c>
      <c r="C8" s="6" t="s">
        <v>133</v>
      </c>
      <c r="D8" s="8">
        <v>6.6297350000000002</v>
      </c>
      <c r="E8" s="8">
        <v>16.468385000000001</v>
      </c>
      <c r="F8" s="24">
        <f t="shared" si="0"/>
        <v>1.4840185919950044</v>
      </c>
      <c r="G8" s="8">
        <v>6.6233940000000002</v>
      </c>
      <c r="H8" s="8">
        <v>17.845559999999999</v>
      </c>
      <c r="I8" s="24">
        <f t="shared" si="1"/>
        <v>1.6943225784242939</v>
      </c>
      <c r="J8" s="6" t="s">
        <v>136</v>
      </c>
    </row>
    <row r="9" spans="1:10" ht="19.95" customHeight="1">
      <c r="A9" s="6" t="s">
        <v>137</v>
      </c>
      <c r="B9" s="6" t="s">
        <v>138</v>
      </c>
      <c r="C9" s="6" t="s">
        <v>139</v>
      </c>
      <c r="D9" s="25">
        <v>393.33333299999998</v>
      </c>
      <c r="E9" s="25">
        <v>27</v>
      </c>
      <c r="F9" s="24">
        <f t="shared" si="0"/>
        <v>-0.93135593214521695</v>
      </c>
      <c r="G9" s="25">
        <v>364</v>
      </c>
      <c r="H9" s="25">
        <v>3</v>
      </c>
      <c r="I9" s="24">
        <f t="shared" si="1"/>
        <v>-0.99175824175824179</v>
      </c>
      <c r="J9" s="6" t="s">
        <v>140</v>
      </c>
    </row>
    <row r="10" spans="1:10" ht="19.95" customHeight="1">
      <c r="A10" s="6" t="s">
        <v>137</v>
      </c>
      <c r="B10" s="6" t="s">
        <v>138</v>
      </c>
      <c r="C10" s="6" t="s">
        <v>141</v>
      </c>
      <c r="D10" s="8">
        <v>35.411000000000001</v>
      </c>
      <c r="E10" s="8">
        <v>1.681</v>
      </c>
      <c r="F10" s="24">
        <f t="shared" si="0"/>
        <v>-0.95252887520826857</v>
      </c>
      <c r="G10" s="8">
        <v>36.805</v>
      </c>
      <c r="H10" s="8">
        <v>0.186</v>
      </c>
      <c r="I10" s="24">
        <f t="shared" si="1"/>
        <v>-0.99494633881266137</v>
      </c>
      <c r="J10" s="6" t="s">
        <v>140</v>
      </c>
    </row>
    <row r="11" spans="1:10" ht="19.95" customHeight="1">
      <c r="A11" s="6" t="s">
        <v>142</v>
      </c>
      <c r="B11" s="6" t="s">
        <v>143</v>
      </c>
      <c r="C11" s="6" t="s">
        <v>144</v>
      </c>
      <c r="D11" s="25">
        <v>55485.845999999998</v>
      </c>
      <c r="E11" s="25">
        <v>10395.194332999999</v>
      </c>
      <c r="F11" s="24">
        <f t="shared" si="0"/>
        <v>-0.81265142225640752</v>
      </c>
      <c r="G11" s="25">
        <v>54606.76</v>
      </c>
      <c r="H11" s="25">
        <v>78.069000000000003</v>
      </c>
      <c r="I11" s="24">
        <f t="shared" si="1"/>
        <v>-0.99857034184046078</v>
      </c>
      <c r="J11" s="6" t="s">
        <v>140</v>
      </c>
    </row>
    <row r="12" spans="1:10" ht="19.95" customHeight="1">
      <c r="A12" s="6" t="s">
        <v>142</v>
      </c>
      <c r="B12" s="6" t="s">
        <v>145</v>
      </c>
      <c r="C12" s="6" t="s">
        <v>144</v>
      </c>
      <c r="D12" s="25">
        <v>57478.793333000001</v>
      </c>
      <c r="E12" s="25">
        <v>18146.302333</v>
      </c>
      <c r="F12" s="24">
        <f t="shared" si="0"/>
        <v>-0.68429569793035727</v>
      </c>
      <c r="G12" s="25">
        <v>56453.373</v>
      </c>
      <c r="H12" s="25">
        <v>205.67099999999999</v>
      </c>
      <c r="I12" s="24">
        <f t="shared" si="1"/>
        <v>-0.99635679873370897</v>
      </c>
      <c r="J12" s="6" t="s">
        <v>140</v>
      </c>
    </row>
    <row r="13" spans="1:10" ht="19.95" customHeight="1">
      <c r="A13" s="6" t="s">
        <v>146</v>
      </c>
      <c r="B13" s="6" t="s">
        <v>147</v>
      </c>
      <c r="C13" s="6" t="s">
        <v>144</v>
      </c>
      <c r="D13" s="25">
        <v>4629.6080000000002</v>
      </c>
      <c r="E13" s="25">
        <v>1091.444667</v>
      </c>
      <c r="F13" s="24">
        <f t="shared" si="0"/>
        <v>-0.76424685048928553</v>
      </c>
      <c r="G13" s="25">
        <v>4584.2669999999998</v>
      </c>
      <c r="H13" s="25">
        <v>77.998999999999995</v>
      </c>
      <c r="I13" s="24">
        <f t="shared" si="1"/>
        <v>-0.98298550237148052</v>
      </c>
      <c r="J13" s="6" t="s">
        <v>140</v>
      </c>
    </row>
    <row r="14" spans="1:10" ht="19.95" customHeight="1">
      <c r="A14" s="6" t="s">
        <v>146</v>
      </c>
      <c r="B14" s="6" t="s">
        <v>148</v>
      </c>
      <c r="C14" s="6" t="s">
        <v>144</v>
      </c>
      <c r="D14" s="25">
        <v>29730.398667000001</v>
      </c>
      <c r="E14" s="25">
        <v>10037.611000000001</v>
      </c>
      <c r="F14" s="24">
        <f t="shared" si="0"/>
        <v>-0.66237886304762217</v>
      </c>
      <c r="G14" s="25">
        <v>30104.240000000002</v>
      </c>
      <c r="H14" s="25">
        <v>206.07400000000001</v>
      </c>
      <c r="I14" s="24">
        <f t="shared" si="1"/>
        <v>-0.99315465196929076</v>
      </c>
      <c r="J14" s="6" t="s">
        <v>140</v>
      </c>
    </row>
    <row r="15" spans="1:10" ht="19.95" customHeight="1">
      <c r="A15" s="6" t="s">
        <v>149</v>
      </c>
      <c r="B15" s="6" t="s">
        <v>150</v>
      </c>
      <c r="C15" s="6" t="s">
        <v>151</v>
      </c>
      <c r="D15" s="25">
        <v>730.66666699999996</v>
      </c>
      <c r="E15" s="25">
        <v>1586</v>
      </c>
      <c r="F15" s="24">
        <f t="shared" si="0"/>
        <v>1.1706204369659581</v>
      </c>
      <c r="G15" s="25">
        <v>740</v>
      </c>
      <c r="H15" s="25">
        <v>1606</v>
      </c>
      <c r="I15" s="24">
        <f t="shared" si="1"/>
        <v>1.1702702702702701</v>
      </c>
      <c r="J15" s="6" t="s">
        <v>152</v>
      </c>
    </row>
    <row r="16" spans="1:10" ht="19.95" customHeight="1">
      <c r="A16" s="6" t="s">
        <v>149</v>
      </c>
      <c r="B16" s="6" t="s">
        <v>153</v>
      </c>
      <c r="C16" s="6" t="s">
        <v>144</v>
      </c>
      <c r="D16" s="25">
        <v>606.003333</v>
      </c>
      <c r="E16" s="25">
        <v>229.919667</v>
      </c>
      <c r="F16" s="24">
        <f t="shared" si="0"/>
        <v>-0.62059669562906516</v>
      </c>
      <c r="G16" s="25">
        <v>596.95000000000005</v>
      </c>
      <c r="H16" s="25">
        <v>83.284999999999997</v>
      </c>
      <c r="I16" s="24">
        <f t="shared" si="1"/>
        <v>-0.86048245246670574</v>
      </c>
      <c r="J16" s="6" t="s">
        <v>140</v>
      </c>
    </row>
    <row r="17" spans="1:10" ht="19.95" customHeight="1">
      <c r="A17" s="6" t="s">
        <v>149</v>
      </c>
      <c r="B17" s="6" t="s">
        <v>154</v>
      </c>
      <c r="C17" s="6" t="s">
        <v>144</v>
      </c>
      <c r="D17" s="25">
        <v>737.62099999999998</v>
      </c>
      <c r="E17" s="25">
        <v>295.90833300000003</v>
      </c>
      <c r="F17" s="24">
        <f t="shared" si="0"/>
        <v>-0.59883418042599112</v>
      </c>
      <c r="G17" s="25">
        <v>709.84500000000003</v>
      </c>
      <c r="H17" s="25">
        <v>127.63500000000001</v>
      </c>
      <c r="I17" s="24">
        <f t="shared" si="1"/>
        <v>-0.82019314075608052</v>
      </c>
      <c r="J17" s="6" t="s">
        <v>140</v>
      </c>
    </row>
    <row r="18" spans="1:10" ht="19.95" customHeight="1">
      <c r="A18" s="6" t="s">
        <v>155</v>
      </c>
      <c r="B18" s="6" t="s">
        <v>156</v>
      </c>
      <c r="C18" s="6" t="s">
        <v>157</v>
      </c>
      <c r="D18" s="25">
        <v>205.66666699999999</v>
      </c>
      <c r="E18" s="25">
        <v>3.3333330000000001</v>
      </c>
      <c r="F18" s="24">
        <f t="shared" si="0"/>
        <v>-0.98379254621751611</v>
      </c>
      <c r="G18" s="25">
        <v>6</v>
      </c>
      <c r="H18" s="25">
        <v>3</v>
      </c>
      <c r="I18" s="24">
        <f t="shared" si="1"/>
        <v>-0.5</v>
      </c>
      <c r="J18" s="6" t="s">
        <v>140</v>
      </c>
    </row>
    <row r="19" spans="1:10" ht="19.95" customHeight="1">
      <c r="A19" s="6" t="s">
        <v>158</v>
      </c>
      <c r="B19" s="6" t="s">
        <v>159</v>
      </c>
      <c r="C19" s="6" t="s">
        <v>160</v>
      </c>
      <c r="D19" s="8">
        <v>1</v>
      </c>
      <c r="E19" s="8">
        <v>0.33333299999999999</v>
      </c>
      <c r="F19" s="24">
        <f t="shared" si="0"/>
        <v>-0.66666700000000001</v>
      </c>
      <c r="G19" s="8">
        <v>1</v>
      </c>
      <c r="H19" s="8">
        <v>0</v>
      </c>
      <c r="I19" s="24">
        <f t="shared" si="1"/>
        <v>-1</v>
      </c>
      <c r="J19" s="6" t="s">
        <v>140</v>
      </c>
    </row>
    <row r="20" spans="1:10" ht="19.95" customHeight="1">
      <c r="A20" s="6" t="s">
        <v>161</v>
      </c>
      <c r="B20" s="6" t="s">
        <v>162</v>
      </c>
      <c r="C20" s="6" t="s">
        <v>163</v>
      </c>
      <c r="D20" s="8">
        <v>33.061427999999999</v>
      </c>
      <c r="E20" s="8">
        <v>40.319957000000002</v>
      </c>
      <c r="F20" s="24">
        <f t="shared" si="0"/>
        <v>0.21954674795051199</v>
      </c>
      <c r="G20" s="8">
        <v>33.088833999999999</v>
      </c>
      <c r="H20" s="8">
        <v>40.132513000000003</v>
      </c>
      <c r="I20" s="24">
        <f t="shared" si="1"/>
        <v>0.21287178025070341</v>
      </c>
      <c r="J20" s="6" t="s">
        <v>164</v>
      </c>
    </row>
    <row r="21" spans="1:10" ht="19.95" customHeight="1">
      <c r="A21" s="6" t="s">
        <v>161</v>
      </c>
      <c r="B21" s="6" t="s">
        <v>165</v>
      </c>
      <c r="C21" s="6" t="s">
        <v>166</v>
      </c>
      <c r="D21" s="25">
        <v>381.90070200000002</v>
      </c>
      <c r="E21" s="25">
        <v>304.63132899999999</v>
      </c>
      <c r="F21" s="24">
        <f t="shared" si="0"/>
        <v>-0.20232843929153088</v>
      </c>
      <c r="G21" s="25">
        <v>380.54040700000002</v>
      </c>
      <c r="H21" s="25">
        <v>259.666674</v>
      </c>
      <c r="I21" s="24">
        <f t="shared" si="1"/>
        <v>-0.31763705187817282</v>
      </c>
      <c r="J21" s="6" t="s">
        <v>164</v>
      </c>
    </row>
    <row r="22" spans="1:10" ht="19.95" customHeight="1">
      <c r="A22" s="26" t="s">
        <v>158</v>
      </c>
      <c r="B22" s="26" t="s">
        <v>167</v>
      </c>
      <c r="C22" s="26" t="s">
        <v>168</v>
      </c>
      <c r="D22" s="27">
        <v>0</v>
      </c>
      <c r="E22" s="27">
        <v>0.66666666666666663</v>
      </c>
      <c r="F22" s="28" t="str">
        <f t="shared" si="0"/>
        <v>n.a.</v>
      </c>
      <c r="G22" s="27">
        <v>0</v>
      </c>
      <c r="H22" s="27">
        <v>1</v>
      </c>
      <c r="I22" s="28" t="str">
        <f t="shared" si="1"/>
        <v>n.a.</v>
      </c>
      <c r="J22" s="26" t="s">
        <v>169</v>
      </c>
    </row>
    <row r="25" spans="1:10" ht="31.95" customHeight="1">
      <c r="A25" s="4" t="s">
        <v>170</v>
      </c>
      <c r="B25" s="44" t="s">
        <v>171</v>
      </c>
      <c r="C25" s="44"/>
      <c r="D25" s="44"/>
      <c r="E25" s="44"/>
      <c r="F25" s="44"/>
      <c r="G25" s="44"/>
      <c r="H25" s="44"/>
      <c r="I25" s="44"/>
      <c r="J25" s="44"/>
    </row>
    <row r="26" spans="1:10" ht="31.95" customHeight="1">
      <c r="A26" s="4" t="s">
        <v>172</v>
      </c>
      <c r="B26" s="44" t="s">
        <v>173</v>
      </c>
      <c r="C26" s="44"/>
      <c r="D26" s="44"/>
      <c r="E26" s="44"/>
      <c r="F26" s="44"/>
      <c r="G26" s="44"/>
      <c r="H26" s="44"/>
      <c r="I26" s="44"/>
      <c r="J26" s="44"/>
    </row>
    <row r="27" spans="1:10" ht="31.95" customHeight="1">
      <c r="A27" s="4" t="s">
        <v>174</v>
      </c>
      <c r="B27" s="44" t="s">
        <v>175</v>
      </c>
      <c r="C27" s="44"/>
      <c r="D27" s="44"/>
      <c r="E27" s="44"/>
      <c r="F27" s="44"/>
      <c r="G27" s="44"/>
      <c r="H27" s="44"/>
      <c r="I27" s="44"/>
      <c r="J27" s="44"/>
    </row>
    <row r="34" spans="12:13" ht="48" customHeight="1">
      <c r="L34" s="5" t="s">
        <v>122</v>
      </c>
      <c r="M34" s="5" t="s">
        <v>176</v>
      </c>
    </row>
    <row r="35" spans="12:13" ht="19.95" customHeight="1">
      <c r="L35" s="6" t="s">
        <v>177</v>
      </c>
      <c r="M35" s="24">
        <f>F7</f>
        <v>0.62627314706697423</v>
      </c>
    </row>
    <row r="36" spans="12:13" ht="19.95" customHeight="1">
      <c r="L36" s="6" t="s">
        <v>178</v>
      </c>
      <c r="M36" s="24">
        <f>F8</f>
        <v>1.4840185919950044</v>
      </c>
    </row>
    <row r="37" spans="12:13" ht="19.95" customHeight="1">
      <c r="L37" s="6" t="s">
        <v>137</v>
      </c>
      <c r="M37" s="24">
        <f>F9</f>
        <v>-0.93135593214521695</v>
      </c>
    </row>
    <row r="38" spans="12:13" ht="19.95" customHeight="1">
      <c r="L38" s="6" t="s">
        <v>179</v>
      </c>
      <c r="M38" s="24">
        <f>F11</f>
        <v>-0.81265142225640752</v>
      </c>
    </row>
    <row r="39" spans="12:13" ht="19.95" customHeight="1">
      <c r="L39" s="6" t="s">
        <v>180</v>
      </c>
      <c r="M39" s="24">
        <f>F13</f>
        <v>-0.76424685048928553</v>
      </c>
    </row>
    <row r="40" spans="12:13" ht="19.95" customHeight="1">
      <c r="L40" s="6" t="s">
        <v>181</v>
      </c>
      <c r="M40" s="24">
        <f>F15</f>
        <v>1.1706204369659581</v>
      </c>
    </row>
    <row r="41" spans="12:13" ht="19.95" customHeight="1">
      <c r="L41" s="6" t="s">
        <v>156</v>
      </c>
      <c r="M41" s="24">
        <f>F18</f>
        <v>-0.98379254621751611</v>
      </c>
    </row>
    <row r="42" spans="12:13" ht="19.95" customHeight="1">
      <c r="L42" s="6" t="s">
        <v>182</v>
      </c>
      <c r="M42" s="24">
        <f>F20</f>
        <v>0.21954674795051199</v>
      </c>
    </row>
    <row r="43" spans="12:13" ht="19.95" customHeight="1">
      <c r="L43" s="6" t="s">
        <v>183</v>
      </c>
      <c r="M43" s="24">
        <f>F21</f>
        <v>-0.20232843929153088</v>
      </c>
    </row>
  </sheetData>
  <mergeCells count="4">
    <mergeCell ref="A5:J5"/>
    <mergeCell ref="B25:J25"/>
    <mergeCell ref="B26:J26"/>
    <mergeCell ref="B27:J27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7365D"/>
  </sheetPr>
  <dimension ref="A2:H17"/>
  <sheetViews>
    <sheetView tabSelected="1" workbookViewId="0"/>
  </sheetViews>
  <sheetFormatPr defaultRowHeight="13.8"/>
  <cols>
    <col min="1" max="1" width="28" customWidth="1"/>
    <col min="2" max="2" width="105" customWidth="1"/>
  </cols>
  <sheetData>
    <row r="2" spans="1:8" ht="24" customHeight="1">
      <c r="A2" s="1" t="s">
        <v>184</v>
      </c>
    </row>
    <row r="3" spans="1:8" ht="19.95" customHeight="1">
      <c r="A3" s="2" t="s">
        <v>185</v>
      </c>
    </row>
    <row r="4" spans="1:8">
      <c r="A4" s="3"/>
      <c r="B4" s="3"/>
      <c r="C4" s="3"/>
      <c r="D4" s="3"/>
      <c r="E4" s="3"/>
      <c r="F4" s="3"/>
      <c r="G4" s="3"/>
      <c r="H4" s="3"/>
    </row>
    <row r="5" spans="1:8" ht="37.950000000000003" customHeight="1">
      <c r="A5" s="5" t="s">
        <v>186</v>
      </c>
      <c r="B5" s="5" t="s">
        <v>187</v>
      </c>
    </row>
    <row r="6" spans="1:8" ht="43.95" customHeight="1">
      <c r="A6" s="29" t="s">
        <v>188</v>
      </c>
      <c r="B6" s="32" t="s">
        <v>189</v>
      </c>
    </row>
    <row r="7" spans="1:8" ht="43.95" customHeight="1">
      <c r="A7" s="30" t="s">
        <v>190</v>
      </c>
      <c r="B7" s="33" t="s">
        <v>191</v>
      </c>
    </row>
    <row r="8" spans="1:8" ht="43.95" customHeight="1">
      <c r="A8" s="30" t="s">
        <v>192</v>
      </c>
      <c r="B8" s="33" t="s">
        <v>193</v>
      </c>
    </row>
    <row r="9" spans="1:8" ht="43.95" customHeight="1">
      <c r="A9" s="30" t="s">
        <v>194</v>
      </c>
      <c r="B9" s="33" t="s">
        <v>195</v>
      </c>
    </row>
    <row r="10" spans="1:8" ht="43.95" customHeight="1">
      <c r="A10" s="30" t="s">
        <v>172</v>
      </c>
      <c r="B10" s="33" t="s">
        <v>196</v>
      </c>
    </row>
    <row r="11" spans="1:8" ht="43.95" customHeight="1">
      <c r="A11" s="30" t="s">
        <v>197</v>
      </c>
      <c r="B11" s="33" t="s">
        <v>198</v>
      </c>
    </row>
    <row r="12" spans="1:8" ht="43.95" customHeight="1">
      <c r="A12" s="30" t="s">
        <v>158</v>
      </c>
      <c r="B12" s="33" t="s">
        <v>199</v>
      </c>
    </row>
    <row r="13" spans="1:8" ht="43.95" customHeight="1">
      <c r="A13" s="30" t="s">
        <v>44</v>
      </c>
      <c r="B13" s="33" t="s">
        <v>200</v>
      </c>
    </row>
    <row r="14" spans="1:8" ht="43.95" customHeight="1">
      <c r="A14" s="30" t="s">
        <v>201</v>
      </c>
      <c r="B14" s="33" t="s">
        <v>202</v>
      </c>
    </row>
    <row r="15" spans="1:8" ht="43.95" customHeight="1">
      <c r="A15" s="30" t="s">
        <v>203</v>
      </c>
      <c r="B15" s="33" t="s">
        <v>204</v>
      </c>
    </row>
    <row r="16" spans="1:8" ht="43.95" customHeight="1">
      <c r="A16" s="30" t="s">
        <v>205</v>
      </c>
      <c r="B16" s="33" t="s">
        <v>206</v>
      </c>
    </row>
    <row r="17" spans="1:2" ht="43.95" customHeight="1">
      <c r="A17" s="31" t="s">
        <v>207</v>
      </c>
      <c r="B17" s="34" t="s">
        <v>208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Resumo C2</vt:lpstr>
      <vt:lpstr>Resultados por estágio</vt:lpstr>
      <vt:lpstr>Comportamento HPA</vt:lpstr>
      <vt:lpstr>Comparação C1 x C2</vt:lpstr>
      <vt:lpstr>Metodologia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Alisson Rech Honorato</cp:lastModifiedBy>
  <dcterms:created xsi:type="dcterms:W3CDTF">2026-09-18T01:02:33Z</dcterms:created>
  <dcterms:modified xsi:type="dcterms:W3CDTF">2026-09-18T01:02:33Z</dcterms:modified>
</cp:coreProperties>
</file>