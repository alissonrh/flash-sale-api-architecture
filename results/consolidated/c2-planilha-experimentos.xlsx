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C2" sheetId="1" r:id="rId5"/>
    <x:sheet xmlns:r="http://schemas.openxmlformats.org/officeDocument/2006/relationships" name="Resultados por estágio" sheetId="2" r:id="rId6"/>
    <x:sheet xmlns:r="http://schemas.openxmlformats.org/officeDocument/2006/relationships" name="Comportamento HPA" sheetId="3" r:id="rId7"/>
    <x:sheet xmlns:r="http://schemas.openxmlformats.org/officeDocument/2006/relationships" name="Comparação C1 x C2" sheetId="4" r:id="rId8"/>
    <x:sheet xmlns:r="http://schemas.openxmlformats.org/officeDocument/2006/relationships" name="Metodologia" sheetId="5" r:id="rI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General"/>
    <x:numFmt numFmtId="201" formatCode="0"/>
    <x:numFmt numFmtId="202" formatCode="0.000"/>
    <x:numFmt numFmtId="203" formatCode="0.000000"/>
    <x:numFmt numFmtId="204" formatCode="0.000000000"/>
    <x:numFmt numFmtId="205" formatCode="0.00"/>
    <x:numFmt numFmtId="206" formatCode="0.00000"/>
    <x:numFmt numFmtId="207" formatCode="0.0"/>
    <x:numFmt numFmtId="208" formatCode="0%"/>
    <x:numFmt numFmtId="209" formatCode="+0.0%;-0.0%;0.0%"/>
    <x:numFmt numFmtId="210" formatCode="#,##0.0"/>
    <x:numFmt numFmtId="211" formatCode="0.0%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404040"/>
      <x:name val="Arial"/>
    </x:font>
    <x:font>
      <x:b/>
      <x:sz val="10"/>
      <x:color rgb="FF9C0006"/>
      <x:name val="Arial"/>
    </x:font>
    <x:font>
      <x:b/>
      <x:sz val="10"/>
      <x:color rgb="FF17365D"/>
      <x:name val="Arial"/>
    </x:font>
    <x:font>
      <x:sz val="10"/>
      <x:color rgb="FF40404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B183"/>
      </x:patternFill>
    </x:fill>
    <x:fill>
      <x:patternFill patternType="solid">
        <x:fgColor rgb="FFEAF3F8"/>
      </x:patternFill>
    </x:fill>
  </x:fills>
  <x:borders count="14">
    <x:border/>
    <x:border>
      <x:bottom style="thin">
        <x:color rgb="FF17365D"/>
      </x:bottom>
    </x:border>
    <x:border>
      <x:left style="thin">
        <x:color rgb="FFF4B183"/>
      </x:left>
      <x:top style="thin">
        <x:color rgb="FFF4B183"/>
      </x:top>
    </x:border>
    <x:border>
      <x:top style="thin">
        <x:color rgb="FFF4B183"/>
      </x:top>
    </x:border>
    <x:border>
      <x:right style="thin">
        <x:color rgb="FFF4B183"/>
      </x:right>
      <x:top style="thin">
        <x:color rgb="FFF4B183"/>
      </x:top>
    </x:border>
    <x:border>
      <x:left style="thin">
        <x:color rgb="FFF4B183"/>
      </x:left>
      <x:bottom style="thin">
        <x:color rgb="FFF4B183"/>
      </x:bottom>
    </x:border>
    <x:border>
      <x:bottom style="thin">
        <x:color rgb="FFF4B183"/>
      </x:bottom>
    </x:border>
    <x:border>
      <x:right style="thin">
        <x:color rgb="FFF4B183"/>
      </x:right>
      <x:bottom style="thin">
        <x:color rgb="FFF4B18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7E7"/>
      </x:bottom>
    </x:border>
    <x:border>
      <x:top style="thin">
        <x:color rgb="FFB4C7E7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202" fontId="5" fillId="0" borderId="0" xfId="0" applyNumberFormat="1" applyFont="1" applyFill="1" applyBorder="1" applyAlignment="1">
      <x:alignment vertical="center" wrapText="0"/>
    </x:xf>
    <x:xf numFmtId="203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5" fillId="0" borderId="0" xfId="0" applyNumberFormat="1" applyFont="1" applyFill="1" applyBorder="1" applyAlignment="1">
      <x:alignment vertical="center" wrapText="0"/>
    </x:xf>
    <x:xf numFmtId="205" fontId="5" fillId="0" borderId="0" xfId="0" applyNumberFormat="1" applyFont="1" applyFill="1" applyBorder="1" applyAlignment="1">
      <x:alignment vertical="center" wrapText="0"/>
    </x:xf>
    <x:xf numFmtId="206" fontId="5" fillId="0" borderId="0" xfId="0" applyNumberFormat="1" applyFont="1" applyFill="1" applyBorder="1" applyAlignment="1">
      <x:alignment vertical="center" wrapText="0"/>
    </x:xf>
    <x:xf numFmtId="200" fontId="5" fillId="2" borderId="0" xfId="0" applyNumberFormat="1" applyFont="1" applyFill="1" applyBorder="1" applyAlignment="1">
      <x:alignment vertical="center" wrapText="0"/>
    </x:xf>
    <x:xf numFmtId="201" fontId="5" fillId="2" borderId="0" xfId="0" applyNumberFormat="1" applyFont="1" applyFill="1" applyBorder="1" applyAlignment="1">
      <x:alignment vertical="center" wrapText="0"/>
    </x:xf>
    <x:xf numFmtId="202" fontId="5" fillId="2" borderId="0" xfId="0" applyNumberFormat="1" applyFont="1" applyFill="1" applyBorder="1" applyAlignment="1">
      <x:alignment vertical="center" wrapText="0"/>
    </x:xf>
    <x:xf numFmtId="203" fontId="5" fillId="2" borderId="0" xfId="0" applyNumberFormat="1" applyFont="1" applyFill="1" applyBorder="1" applyAlignment="1">
      <x:alignment vertical="center" wrapText="0"/>
    </x:xf>
    <x:xf numFmtId="205" fontId="5" fillId="2" borderId="0" xfId="0" applyNumberFormat="1" applyFont="1" applyFill="1" applyBorder="1" applyAlignment="1">
      <x:alignment vertical="center" wrapText="0"/>
    </x:xf>
    <x:xf numFmtId="200" fontId="5" fillId="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5" fillId="2" borderId="0" xfId="0" applyNumberFormat="1" applyFont="1" applyFill="1" applyBorder="1" applyAlignment="1">
      <x:alignment vertical="center" wrapText="0"/>
    </x:xf>
    <x:xf numFmtId="200" fontId="5" fillId="5" borderId="0" xfId="0" applyNumberFormat="1" applyFont="1" applyFill="1" applyBorder="1" applyAlignment="1">
      <x:alignment vertical="center" wrapText="0"/>
    </x:xf>
    <x:xf numFmtId="200" fontId="3" fillId="5" borderId="0" xfId="0" applyNumberFormat="1" applyFont="1" applyFill="1" applyBorder="1" applyAlignment="1">
      <x:alignment vertical="center" wrapText="0"/>
    </x:xf>
    <x:xf numFmtId="207" fontId="5" fillId="0" borderId="0" xfId="0" applyNumberFormat="1" applyFont="1" applyFill="1" applyBorder="1" applyAlignment="1">
      <x:alignment vertical="center" wrapText="0"/>
    </x:xf>
    <x:xf numFmtId="208" fontId="5" fillId="0" borderId="0" xfId="0" applyNumberFormat="1" applyFont="1" applyFill="1" applyBorder="1" applyAlignment="1">
      <x:alignment vertical="center" wrapText="0"/>
    </x:xf>
    <x:xf numFmtId="209" fontId="5" fillId="0" borderId="0" xfId="0" applyNumberFormat="1" applyFont="1" applyFill="1" applyBorder="1" applyAlignment="1">
      <x:alignment vertical="center" wrapText="0"/>
    </x:xf>
    <x:xf numFmtId="210" fontId="5" fillId="0" borderId="0" xfId="0" applyNumberFormat="1" applyFont="1" applyFill="1" applyBorder="1" applyAlignment="1">
      <x:alignment vertical="center" wrapText="0"/>
    </x:xf>
    <x:xf numFmtId="211" fontId="5" fillId="0" borderId="0" xfId="0" applyNumberFormat="1" applyFont="1" applyFill="1" applyBorder="1" applyAlignment="1">
      <x:alignment vertical="center" wrapText="0"/>
    </x:xf>
    <x:xf numFmtId="200" fontId="5" fillId="6" borderId="0" xfId="0" applyNumberFormat="1" applyFont="1" applyFill="1" applyBorder="1" applyAlignment="1">
      <x:alignment vertical="center" wrapText="0"/>
    </x:xf>
    <x:xf numFmtId="211" fontId="5" fillId="6" borderId="0" xfId="0" applyNumberFormat="1" applyFont="1" applyFill="1" applyBorder="1" applyAlignment="1">
      <x:alignment vertical="center" wrapText="0"/>
    </x:xf>
    <x:xf numFmtId="209" fontId="5" fillId="6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1" xfId="0" applyNumberFormat="1" applyFont="1" applyFill="1" applyBorder="1"/>
    <x:xf numFmtId="0" fontId="6" fillId="4" borderId="11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/>
    <x:xf numFmtId="0" fontId="5" fillId="0" borderId="9" xfId="0" applyNumberFormat="1" applyFont="1" applyFill="1" applyBorder="1"/>
    <x:xf numFmtId="0" fontId="5" fillId="0" borderId="13" xfId="0" applyNumberFormat="1" applyFont="1" applyFill="1" applyBorder="1"/>
    <x:xf numFmtId="0" fontId="5" fillId="0" borderId="12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microsoft.com/office/2022/11/relationships/FeaturePropertyBag" Target="/xl/featurePropertyBag/featurePropertyBag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I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Réplicas da API e réplicas desejadas pelo HPA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Atual c2-run-1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HPA'!$Q$5:$Q$54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Desejada c2-run-1</c:v>
          </c:tx>
          <c:spPr>
            <a:ln xmlns:a="http://schemas.openxmlformats.org/drawingml/2006/main" w="14288">
              <a:solidFill>
                <a:srgbClr val="2F5597"/>
              </a:solidFill>
              <a:prstDash val="dash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HPA'!$R$5:$R$54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Atual c2-run-2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HPA'!$S$5:$S$54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Desejada c2-run-2</c:v>
          </c:tx>
          <c:spPr>
            <a:ln xmlns:a="http://schemas.openxmlformats.org/drawingml/2006/main" w="14288">
              <a:solidFill>
                <a:srgbClr val="C55A11"/>
              </a:solidFill>
              <a:prstDash val="dash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HPA'!$T$5:$T$54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Atual c2-run-3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HPA'!$U$5:$U$54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Desejada c2-run-3</c:v>
          </c:tx>
          <c:spPr>
            <a:ln xmlns:a="http://schemas.openxmlformats.org/drawingml/2006/main" w="14288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strRef>
              <c:f>'Comportamento HPA'!$P$5:$P$54</c:f>
              <c:strCache>
                <c:ptCount val="0"/>
              </c:strCache>
            </c:strRef>
          </c:cat>
          <c:val>
            <c:numRef>
              <c:f>'Comportamento HPA'!$V$5:$V$54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Segundos desde o início da carga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Réplicas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Variação da média do C2 em relação ao C1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Variação média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'Comparação C1 x C2'!$L$35:$L$43</c:f>
              <c:strCache>
                <c:ptCount val="0"/>
              </c:strCache>
            </c:strRef>
          </c:cat>
          <c:val>
            <c:numRef>
              <c:f>'Comparação C1 x C2'!$M$35:$M$43</c:f>
              <c:numCache>
                <c:formatCode>+0.0%;-0.0%;0.0%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22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2RunsTable" displayName="C2RunsTable" ref="A9:AK12" headerRowCount="1" totalsRowCount="0" totalsRowShown="0">
  <x:autoFilter ref="A9:AK12"/>
  <x:tableColumns count="37">
    <x:tableColumn id="1" name="run_id"/>
    <x:tableColumn id="2" name="validity"/>
    <x:tableColumn id="3" name="stability"/>
    <x:tableColumn id="4" name="requests_started"/>
    <x:tableColumn id="5" name="responses_2xx"/>
    <x:tableColumn id="6" name="responses_5xx"/>
    <x:tableColumn id="7" name="connection_errors"/>
    <x:tableColumn id="8" name="unexpected_failures"/>
    <x:tableColumn id="9" name="unexpected_failures_percent"/>
    <x:tableColumn id="10" name="dropped_iterations"/>
    <x:tableColumn id="11" name="dropped_iterations_percent"/>
    <x:tableColumn id="12" name="throughput_rps"/>
    <x:tableColumn id="13" name="accepted_throughput_rps"/>
    <x:tableColumn id="14" name="latency_average_ms"/>
    <x:tableColumn id="15" name="latency_p95_ms"/>
    <x:tableColumn id="16" name="latency_p99_ms"/>
    <x:tableColumn id="17" name="response_2xx_average_ms"/>
    <x:tableColumn id="18" name="response_2xx_p95_ms"/>
    <x:tableColumn id="19" name="response_2xx_p99_ms"/>
    <x:tableColumn id="20" name="orders_created"/>
    <x:tableColumn id="21" name="orders_completed"/>
    <x:tableColumn id="22" name="orders_pending"/>
    <x:tableColumn id="23" name="orders_failed"/>
    <x:tableColumn id="24" name="completion_rate_percent"/>
    <x:tableColumn id="25" name="order_processing_p95_ms"/>
    <x:tableColumn id="26" name="order_processing_p99_ms"/>
    <x:tableColumn id="27" name="drain_duration_seconds"/>
    <x:tableColumn id="28" name="drain_completed"/>
    <x:tableColumn id="29" name="drain_objective_met"/>
    <x:tableColumn id="30" name="restarts"/>
    <x:tableColumn id="31" name="api_peak_cpu_cores"/>
    <x:tableColumn id="32" name="api_peak_memory_mib"/>
    <x:tableColumn id="33" name="max_backlog"/>
    <x:tableColumn id="34" name="app_cpu_seconds_load"/>
    <x:tableColumn id="35" name="app_memory_mib_minutes_load"/>
    <x:tableColumn id="36" name="app_cpu_seconds_per_1000_completed_orders"/>
    <x:tableColumn id="37" name="app_memory_mib_minutes_per_1000_completed_ord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AggregateTable" displayName="C2AggregateTable" ref="A16:G60" headerRowCount="1" totalsRowCount="0" totalsRowShown="0">
  <x:autoFilter ref="A16:G60"/>
  <x:tableColumns count="7">
    <x:tableColumn id="1" name="metric"/>
    <x:tableColumn id="2" name="mean"/>
    <x:tableColumn id="3" name="median"/>
    <x:tableColumn id="4" name="sample_stddev"/>
    <x:tableColumn id="5" name="minimum"/>
    <x:tableColumn id="6" name="maximum"/>
    <x:tableColumn id="7" name="aggregation_meth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2StageTable" displayName="C2StageTable" ref="A6:O18" headerRowCount="1" totalsRowCount="0" totalsRowShown="0">
  <x:autoFilter ref="A6:O18"/>
  <x:tableColumns count="15">
    <x:tableColumn id="1" name="run_id"/>
    <x:tableColumn id="2" name="stage"/>
    <x:tableColumn id="3" name="target_rps"/>
    <x:tableColumn id="4" name="duration_seconds"/>
    <x:tableColumn id="5" name="requests_started"/>
    <x:tableColumn id="6" name="responses_2xx"/>
    <x:tableColumn id="7" name="responses_5xx"/>
    <x:tableColumn id="8" name="connection_errors"/>
    <x:tableColumn id="9" name="dropped_iterations"/>
    <x:tableColumn id="10" name="latency_average_ms"/>
    <x:tableColumn id="11" name="latency_p95_ms"/>
    <x:tableColumn id="12" name="latency_p99_ms"/>
    <x:tableColumn id="13" name="response_2xx_average_ms"/>
    <x:tableColumn id="14" name="response_2xx_p95_ms"/>
    <x:tableColumn id="15" name="response_2xx_p99_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2HpaRunsTable" displayName="C2HpaRunsTable" ref="A6:K9" headerRowCount="1" totalsRowCount="0" totalsRowShown="0">
  <x:autoFilter ref="A6:K9"/>
  <x:tableColumns count="11">
    <x:tableColumn id="1" name="Execução"/>
    <x:tableColumn id="2" name="Inicial"/>
    <x:tableColumn id="3" name="Pods mín. observados"/>
    <x:tableColumn id="4" name="Pods máx. observados"/>
    <x:tableColumn id="5" name="Desejadas mín."/>
    <x:tableColumn id="6" name="Desejadas máx."/>
    <x:tableColumn id="7" name="1ª solicitação (s)"/>
    <x:tableColumn id="8" name="Múltiplos Pods (s)"/>
    <x:tableColumn id="9" name="CPU alvo"/>
    <x:tableColumn id="10" name="Instante da 1ª solicitação"/>
    <x:tableColumn id="11" name="Instante de múltiplos Po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2HpaConfigurationTable" displayName="C2HpaConfigurationTable" ref="A13:B20" headerRowCount="1" totalsRowCount="0" totalsRowShown="0">
  <x:autoFilter ref="A13:B20"/>
  <x:tableColumns count="2">
    <x:tableColumn id="1" name="Parâmetro"/>
    <x:tableColumn id="2" name="Val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2HpaSeriesTable" displayName="C2HpaSeriesTable" ref="P4:V54" headerRowCount="1" totalsRowCount="0" totalsRowShown="0">
  <x:autoFilter ref="P4:V54"/>
  <x:tableColumns count="7">
    <x:tableColumn id="1" name="Segundos desde início da carga"/>
    <x:tableColumn id="2" name="Atual c2-run-1"/>
    <x:tableColumn id="3" name="Desejada c2-run-1"/>
    <x:tableColumn id="4" name="Atual c2-run-2"/>
    <x:tableColumn id="5" name="Desejada c2-run-2"/>
    <x:tableColumn id="6" name="Atual c2-run-3"/>
    <x:tableColumn id="7" name="Desejada c2-run-3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1C2ComparisonTable" displayName="C1C2ComparisonTable" ref="A6:J22" headerRowCount="1" totalsRowCount="0" totalsRowShown="0">
  <x:autoFilter ref="A6:J22"/>
  <x:tableColumns count="10">
    <x:tableColumn id="1" name="Categoria"/>
    <x:tableColumn id="2" name="Métrica"/>
    <x:tableColumn id="3" name="Unidade"/>
    <x:tableColumn id="4" name="Média C1"/>
    <x:tableColumn id="5" name="Média C2"/>
    <x:tableColumn id="6" name="Variação da média"/>
    <x:tableColumn id="7" name="Mediana C1"/>
    <x:tableColumn id="8" name="Mediana C2"/>
    <x:tableColumn id="9" name="Variação da mediana"/>
    <x:tableColumn id="10" name="Leitur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1C2ChartDataTable" displayName="C1C2ChartDataTable" ref="L34:M43" headerRowCount="1" totalsRowCount="0" totalsRowShown="0">
  <x:autoFilter ref="L34:M43"/>
  <x:tableColumns count="2">
    <x:tableColumn id="1" name="Métrica"/>
    <x:tableColumn id="2" name="Variação méd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9" topLeftCell="A10" activePane="bottomLeft" state="frozen"/>
    </x:sheetView>
  </x:sheetViews>
  <x:sheetFormatPr defaultRowHeight="15"/>
  <x:cols>
    <x:col min="1" max="1" width="50" hidden="0" customWidth="1"/>
    <x:col min="2" max="2" width="14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  <x:col min="7" max="7" width="54" hidden="0" customWidth="1"/>
    <x:col min="8" max="8" width="21" hidden="0" customWidth="1"/>
    <x:col min="9" max="9" width="25" hidden="0" customWidth="1"/>
    <x:col min="10" max="10" width="20" hidden="0" customWidth="1"/>
    <x:col min="11" max="11" width="25" hidden="0" customWidth="1"/>
    <x:col min="12" max="12" width="16" hidden="0" customWidth="1"/>
    <x:col min="13" max="13" width="25" hidden="0" customWidth="1"/>
    <x:col min="14" max="14" width="20" hidden="0" customWidth="1"/>
    <x:col min="15" max="15" width="16" hidden="0" customWidth="1"/>
    <x:col min="16" max="16" width="16" hidden="0" customWidth="1"/>
    <x:col min="17" max="17" width="25" hidden="0" customWidth="1"/>
    <x:col min="18" max="18" width="21" hidden="0" customWidth="1"/>
    <x:col min="19" max="19" width="21" hidden="0" customWidth="1"/>
    <x:col min="20" max="20" width="16" hidden="0" customWidth="1"/>
    <x:col min="21" max="21" width="18" hidden="0" customWidth="1"/>
    <x:col min="22" max="22" width="16" hidden="0" customWidth="1"/>
    <x:col min="23" max="23" width="15" hidden="0" customWidth="1"/>
    <x:col min="24" max="24" width="25" hidden="0" customWidth="1"/>
    <x:col min="25" max="25" width="25" hidden="0" customWidth="1"/>
    <x:col min="26" max="26" width="25" hidden="0" customWidth="1"/>
    <x:col min="27" max="27" width="24" hidden="0" customWidth="1"/>
    <x:col min="28" max="28" width="17" hidden="0" customWidth="1"/>
    <x:col min="29" max="29" width="21" hidden="0" customWidth="1"/>
    <x:col min="30" max="30" width="12" hidden="0" customWidth="1"/>
    <x:col min="31" max="31" width="20" hidden="0" customWidth="1"/>
    <x:col min="32" max="32" width="21" hidden="0" customWidth="1"/>
    <x:col min="33" max="33" width="13" hidden="0" customWidth="1"/>
    <x:col min="34" max="34" width="22" hidden="0" customWidth="1"/>
    <x:col min="35" max="35" width="25" hidden="0" customWidth="1"/>
    <x:col min="36" max="36" width="25" hidden="0" customWidth="1"/>
    <x:col min="37" max="37" width="25" hidden="0" customWidth="1"/>
  </x:cols>
  <x:sheetData>
    <x:row r="2" ht="24" customHeight="1">
      <x:c r="A2" s="2" t="str">
        <x:v>Resumo dos ensaios oficiais do C2</x:v>
      </x:c>
    </x:row>
    <x:row r="3" ht="20" customHeight="1">
      <x:c r="A3" s="4" t="str">
        <x:v>Três repetições com HPA ativo. Os resultados completos e as estatísticas são preservados sem excluir outliers.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5" customHeight="1">
      <x:c r="A5" s="20" t="str">
        <x:v>c2-run-2: VALID / UNSTABLE. A execução permaneceu válida para comparação e registrou uma reinicialização da API sob carga.</x:v>
      </x:c>
      <x:c r="B5" s="21" t="str">
        <x:v>c2-run-2: VALID / UNSTABLE. A execução permaneceu válida para comparação e registrou uma reinicialização da API sob carga.</x:v>
      </x:c>
      <x:c r="C5" s="21" t="str">
        <x:v>c2-run-2: VALID / UNSTABLE. A execução permaneceu válida para comparação e registrou uma reinicialização da API sob carga.</x:v>
      </x:c>
      <x:c r="D5" s="21" t="str">
        <x:v>c2-run-2: VALID / UNSTABLE. A execução permaneceu válida para comparação e registrou uma reinicialização da API sob carga.</x:v>
      </x:c>
      <x:c r="E5" s="21" t="str">
        <x:v>c2-run-2: VALID / UNSTABLE. A execução permaneceu válida para comparação e registrou uma reinicialização da API sob carga.</x:v>
      </x:c>
      <x:c r="F5" s="21" t="str">
        <x:v>c2-run-2: VALID / UNSTABLE. A execução permaneceu válida para comparação e registrou uma reinicialização da API sob carga.</x:v>
      </x:c>
      <x:c r="G5" s="21" t="str">
        <x:v>c2-run-2: VALID / UNSTABLE. A execução permaneceu válida para comparação e registrou uma reinicialização da API sob carga.</x:v>
      </x:c>
      <x:c r="H5" s="22" t="str">
        <x:v>c2-run-2: VALID / UNSTABLE. A execução permaneceu válida para comparação e registrou uma reinicialização da API sob carga.</x:v>
      </x:c>
    </x:row>
    <x:row r="6" ht="25" customHeight="1">
      <x:c r="A6" s="23" t="str">
        <x:v>c2-run-2: VALID / UNSTABLE. A execução permaneceu válida para comparação e registrou uma reinicialização da API sob carga.</x:v>
      </x:c>
      <x:c r="B6" s="24" t="str">
        <x:v>c2-run-2: VALID / UNSTABLE. A execução permaneceu válida para comparação e registrou uma reinicialização da API sob carga.</x:v>
      </x:c>
      <x:c r="C6" s="24" t="str">
        <x:v>c2-run-2: VALID / UNSTABLE. A execução permaneceu válida para comparação e registrou uma reinicialização da API sob carga.</x:v>
      </x:c>
      <x:c r="D6" s="24" t="str">
        <x:v>c2-run-2: VALID / UNSTABLE. A execução permaneceu válida para comparação e registrou uma reinicialização da API sob carga.</x:v>
      </x:c>
      <x:c r="E6" s="24" t="str">
        <x:v>c2-run-2: VALID / UNSTABLE. A execução permaneceu válida para comparação e registrou uma reinicialização da API sob carga.</x:v>
      </x:c>
      <x:c r="F6" s="24" t="str">
        <x:v>c2-run-2: VALID / UNSTABLE. A execução permaneceu válida para comparação e registrou uma reinicialização da API sob carga.</x:v>
      </x:c>
      <x:c r="G6" s="24" t="str">
        <x:v>c2-run-2: VALID / UNSTABLE. A execução permaneceu válida para comparação e registrou uma reinicialização da API sob carga.</x:v>
      </x:c>
      <x:c r="H6" s="25" t="str">
        <x:v>c2-run-2: VALID / UNSTABLE. A execução permaneceu válida para comparação e registrou uma reinicialização da API sob carga.</x:v>
      </x:c>
    </x:row>
    <x:row r="8" ht="22" customHeight="1">
      <x:c r="A8" s="31" t="str">
        <x:v>Resultados das três execuções oficiais</x:v>
      </x:c>
      <x:c r="B8" s="32" t="str">
        <x:v>Resultados das três execuções oficiais</x:v>
      </x:c>
      <x:c r="C8" s="32" t="str">
        <x:v>Resultados das três execuções oficiais</x:v>
      </x:c>
      <x:c r="D8" s="32" t="str">
        <x:v>Resultados das três execuções oficiais</x:v>
      </x:c>
      <x:c r="E8" s="32" t="str">
        <x:v>Resultados das três execuções oficiais</x:v>
      </x:c>
      <x:c r="F8" s="32" t="str">
        <x:v>Resultados das três execuções oficiais</x:v>
      </x:c>
      <x:c r="G8" s="32" t="str">
        <x:v>Resultados das três execuções oficiais</x:v>
      </x:c>
      <x:c r="H8" s="33" t="str">
        <x:v>Resultados das três execuções oficiais</x:v>
      </x:c>
    </x:row>
    <x:row r="9" ht="48" customHeight="1">
      <x:c r="A9" s="43" t="str">
        <x:v>run_id</x:v>
      </x:c>
      <x:c r="B9" s="43" t="str">
        <x:v>validity</x:v>
      </x:c>
      <x:c r="C9" s="43" t="str">
        <x:v>stability</x:v>
      </x:c>
      <x:c r="D9" s="43" t="str">
        <x:v>requests_started</x:v>
      </x:c>
      <x:c r="E9" s="43" t="str">
        <x:v>responses_2xx</x:v>
      </x:c>
      <x:c r="F9" s="43" t="str">
        <x:v>responses_5xx</x:v>
      </x:c>
      <x:c r="G9" s="43" t="str">
        <x:v>connection_errors</x:v>
      </x:c>
      <x:c r="H9" s="43" t="str">
        <x:v>unexpected_failures</x:v>
      </x:c>
      <x:c r="I9" s="43" t="str">
        <x:v>unexpected_failures_percent</x:v>
      </x:c>
      <x:c r="J9" s="43" t="str">
        <x:v>dropped_iterations</x:v>
      </x:c>
      <x:c r="K9" s="43" t="str">
        <x:v>dropped_iterations_percent</x:v>
      </x:c>
      <x:c r="L9" s="43" t="str">
        <x:v>throughput_rps</x:v>
      </x:c>
      <x:c r="M9" s="43" t="str">
        <x:v>accepted_throughput_rps</x:v>
      </x:c>
      <x:c r="N9" s="43" t="str">
        <x:v>latency_average_ms</x:v>
      </x:c>
      <x:c r="O9" s="43" t="str">
        <x:v>latency_p95_ms</x:v>
      </x:c>
      <x:c r="P9" s="43" t="str">
        <x:v>latency_p99_ms</x:v>
      </x:c>
      <x:c r="Q9" s="43" t="str">
        <x:v>response_2xx_average_ms</x:v>
      </x:c>
      <x:c r="R9" s="43" t="str">
        <x:v>response_2xx_p95_ms</x:v>
      </x:c>
      <x:c r="S9" s="43" t="str">
        <x:v>response_2xx_p99_ms</x:v>
      </x:c>
      <x:c r="T9" s="43" t="str">
        <x:v>orders_created</x:v>
      </x:c>
      <x:c r="U9" s="43" t="str">
        <x:v>orders_completed</x:v>
      </x:c>
      <x:c r="V9" s="43" t="str">
        <x:v>orders_pending</x:v>
      </x:c>
      <x:c r="W9" s="43" t="str">
        <x:v>orders_failed</x:v>
      </x:c>
      <x:c r="X9" s="43" t="str">
        <x:v>completion_rate_percent</x:v>
      </x:c>
      <x:c r="Y9" s="43" t="str">
        <x:v>order_processing_p95_ms</x:v>
      </x:c>
      <x:c r="Z9" s="43" t="str">
        <x:v>order_processing_p99_ms</x:v>
      </x:c>
      <x:c r="AA9" s="43" t="str">
        <x:v>drain_duration_seconds</x:v>
      </x:c>
      <x:c r="AB9" s="43" t="str">
        <x:v>drain_completed</x:v>
      </x:c>
      <x:c r="AC9" s="43" t="str">
        <x:v>drain_objective_met</x:v>
      </x:c>
      <x:c r="AD9" s="43" t="str">
        <x:v>restarts</x:v>
      </x:c>
      <x:c r="AE9" s="43" t="str">
        <x:v>api_peak_cpu_cores</x:v>
      </x:c>
      <x:c r="AF9" s="43" t="str">
        <x:v>api_peak_memory_mib</x:v>
      </x:c>
      <x:c r="AG9" s="43" t="str">
        <x:v>max_backlog</x:v>
      </x:c>
      <x:c r="AH9" s="43" t="str">
        <x:v>app_cpu_seconds_load</x:v>
      </x:c>
      <x:c r="AI9" s="43" t="str">
        <x:v>app_memory_mib_minutes_load</x:v>
      </x:c>
      <x:c r="AJ9" s="43" t="str">
        <x:v>app_cpu_seconds_per_1000_completed_orders</x:v>
      </x:c>
      <x:c r="AK9" s="43" t="str">
        <x:v>app_memory_mib_minutes_per_1000_completed_orders</x:v>
      </x:c>
    </x:row>
    <x:row r="10" ht="20" customHeight="1">
      <x:c r="A10" s="46" t="str">
        <x:v>c2-run-1</x:v>
      </x:c>
      <x:c r="B10" s="46" t="str">
        <x:v>VALID</x:v>
      </x:c>
      <x:c r="C10" s="46" t="str">
        <x:v>STABLE</x:v>
      </x:c>
      <x:c r="D10" s="47" t="n">
        <x:v>1609</x:v>
      </x:c>
      <x:c r="E10" s="47" t="n">
        <x:v>1608</x:v>
      </x:c>
      <x:c r="F10" s="47" t="n">
        <x:v>0</x:v>
      </x:c>
      <x:c r="G10" s="47" t="n">
        <x:v>1</x:v>
      </x:c>
      <x:c r="H10" s="47" t="n">
        <x:v>1</x:v>
      </x:c>
      <x:c r="I10" s="48" t="n">
        <x:v>0.062</x:v>
      </x:c>
      <x:c r="J10" s="47" t="n">
        <x:v>0</x:v>
      </x:c>
      <x:c r="K10" s="47" t="n">
        <x:v>0</x:v>
      </x:c>
      <x:c r="L10" s="49" t="n">
        <x:v>17.878834</x:v>
      </x:c>
      <x:c r="M10" s="49" t="n">
        <x:v>17.867722</x:v>
      </x:c>
      <x:c r="N10" s="48" t="n">
        <x:v>35.421</x:v>
      </x:c>
      <x:c r="O10" s="48" t="n">
        <x:v>78.069</x:v>
      </x:c>
      <x:c r="P10" s="48" t="n">
        <x:v>113.607</x:v>
      </x:c>
      <x:c r="Q10" s="48" t="n">
        <x:v>35.392</x:v>
      </x:c>
      <x:c r="R10" s="48" t="n">
        <x:v>77.999</x:v>
      </x:c>
      <x:c r="S10" s="48" t="n">
        <x:v>113.624</x:v>
      </x:c>
      <x:c r="T10" s="47" t="n">
        <x:v>1608</x:v>
      </x:c>
      <x:c r="U10" s="47" t="n">
        <x:v>1608</x:v>
      </x:c>
      <x:c r="V10" s="47" t="n">
        <x:v>0</x:v>
      </x:c>
      <x:c r="W10" s="47" t="n">
        <x:v>0</x:v>
      </x:c>
      <x:c r="X10" s="47" t="n">
        <x:v>100</x:v>
      </x:c>
      <x:c r="Y10" s="48" t="n">
        <x:v>74.307</x:v>
      </x:c>
      <x:c r="Z10" s="48" t="n">
        <x:v>127.635</x:v>
      </x:c>
      <x:c r="AA10" s="47" t="n">
        <x:v>4</x:v>
      </x:c>
      <x:c r="AB10" s="50" t="b">
        <x:v>1</x:v>
      </x:c>
      <x:c r="AC10" s="50" t="b">
        <x:v>1</x:v>
      </x:c>
      <x:c r="AD10" s="47" t="n">
        <x:v>0</x:v>
      </x:c>
      <x:c r="AE10" s="51" t="n">
        <x:v>0.498193417</x:v>
      </x:c>
      <x:c r="AF10" s="49" t="n">
        <x:v>78.613281</x:v>
      </x:c>
      <x:c r="AG10" s="47" t="n">
        <x:v>2</x:v>
      </x:c>
      <x:c r="AH10" s="49" t="n">
        <x:v>58.630896</x:v>
      </x:c>
      <x:c r="AI10" s="49" t="n">
        <x:v>398.284868</x:v>
      </x:c>
      <x:c r="AJ10" s="48" t="n">
        <x:v>36.462</x:v>
      </x:c>
      <x:c r="AK10" s="49" t="n">
        <x:v>247.689594</x:v>
      </x:c>
    </x:row>
    <x:row r="11" ht="20" customHeight="1">
      <x:c r="A11" s="54" t="str">
        <x:v>c2-run-2</x:v>
      </x:c>
      <x:c r="B11" s="54" t="str">
        <x:v>VALID</x:v>
      </x:c>
      <x:c r="C11" s="62" t="str">
        <x:v>UNSTABLE</x:v>
      </x:c>
      <x:c r="D11" s="55" t="n">
        <x:v>1606</x:v>
      </x:c>
      <x:c r="E11" s="55" t="n">
        <x:v>1529</x:v>
      </x:c>
      <x:c r="F11" s="55" t="n">
        <x:v>20</x:v>
      </x:c>
      <x:c r="G11" s="55" t="n">
        <x:v>57</x:v>
      </x:c>
      <x:c r="H11" s="55" t="n">
        <x:v>77</x:v>
      </x:c>
      <x:c r="I11" s="56" t="n">
        <x:v>4.795</x:v>
      </x:c>
      <x:c r="J11" s="55" t="n">
        <x:v>3</x:v>
      </x:c>
      <x:c r="K11" s="56" t="n">
        <x:v>0.186</x:v>
      </x:c>
      <x:c r="L11" s="57" t="n">
        <x:v>14.381391</x:v>
      </x:c>
      <x:c r="M11" s="57" t="n">
        <x:v>13.691872</x:v>
      </x:c>
      <x:c r="N11" s="56" t="n">
        <x:v>3191.047</x:v>
      </x:c>
      <x:c r="O11" s="56" t="n">
        <x:v>31031.576</x:v>
      </x:c>
      <x:c r="P11" s="56" t="n">
        <x:v>54119.629</x:v>
      </x:c>
      <x:c r="Q11" s="58" t="n">
        <x:v>945.35</x:v>
      </x:c>
      <x:c r="R11" s="56" t="n">
        <x:v>3120.335</x:v>
      </x:c>
      <x:c r="S11" s="56" t="n">
        <x:v>29793.135</x:v>
      </x:c>
      <x:c r="T11" s="55" t="n">
        <x:v>1544</x:v>
      </x:c>
      <x:c r="U11" s="55" t="n">
        <x:v>1544</x:v>
      </x:c>
      <x:c r="V11" s="55" t="n">
        <x:v>0</x:v>
      </x:c>
      <x:c r="W11" s="55" t="n">
        <x:v>0</x:v>
      </x:c>
      <x:c r="X11" s="55" t="n">
        <x:v>100</x:v>
      </x:c>
      <x:c r="Y11" s="56" t="n">
        <x:v>532.167</x:v>
      </x:c>
      <x:c r="Z11" s="56" t="n">
        <x:v>633.484</x:v>
      </x:c>
      <x:c r="AA11" s="55" t="n">
        <x:v>3</x:v>
      </x:c>
      <x:c r="AB11" s="59" t="b">
        <x:v>1</x:v>
      </x:c>
      <x:c r="AC11" s="59" t="b">
        <x:v>1</x:v>
      </x:c>
      <x:c r="AD11" s="55" t="n">
        <x:v>1</x:v>
      </x:c>
      <x:c r="AE11" s="60" t="n">
        <x:v>0.482931655</x:v>
      </x:c>
      <x:c r="AF11" s="57" t="n">
        <x:v>86.777344</x:v>
      </x:c>
      <x:c r="AG11" s="55" t="n">
        <x:v>1</x:v>
      </x:c>
      <x:c r="AH11" s="57" t="n">
        <x:v>68.500111</x:v>
      </x:c>
      <x:c r="AI11" s="57" t="n">
        <x:v>627.694239</x:v>
      </x:c>
      <x:c r="AJ11" s="57" t="n">
        <x:v>44.365357</x:v>
      </x:c>
      <x:c r="AK11" s="57" t="n">
        <x:v>406.537719</x:v>
      </x:c>
    </x:row>
    <x:row r="12" ht="20" customHeight="1">
      <x:c r="A12" s="46" t="str">
        <x:v>c2-run-3</x:v>
      </x:c>
      <x:c r="B12" s="46" t="str">
        <x:v>VALID</x:v>
      </x:c>
      <x:c r="C12" s="46" t="str">
        <x:v>STABLE</x:v>
      </x:c>
      <x:c r="D12" s="47" t="n">
        <x:v>1609</x:v>
      </x:c>
      <x:c r="E12" s="47" t="n">
        <x:v>1606</x:v>
      </x:c>
      <x:c r="F12" s="47" t="n">
        <x:v>0</x:v>
      </x:c>
      <x:c r="G12" s="47" t="n">
        <x:v>3</x:v>
      </x:c>
      <x:c r="H12" s="47" t="n">
        <x:v>3</x:v>
      </x:c>
      <x:c r="I12" s="48" t="n">
        <x:v>0.186</x:v>
      </x:c>
      <x:c r="J12" s="47" t="n">
        <x:v>0</x:v>
      </x:c>
      <x:c r="K12" s="47" t="n">
        <x:v>0</x:v>
      </x:c>
      <x:c r="L12" s="49" t="n">
        <x:v>17.878895</x:v>
      </x:c>
      <x:c r="M12" s="53" t="n">
        <x:v>17.84556</x:v>
      </x:c>
      <x:c r="N12" s="48" t="n">
        <x:v>36.998</x:v>
      </x:c>
      <x:c r="O12" s="48" t="n">
        <x:v>75.938</x:v>
      </x:c>
      <x:c r="P12" s="48" t="n">
        <x:v>205.671</x:v>
      </x:c>
      <x:c r="Q12" s="48" t="n">
        <x:v>37.038</x:v>
      </x:c>
      <x:c r="R12" s="47" t="n">
        <x:v>76</x:v>
      </x:c>
      <x:c r="S12" s="48" t="n">
        <x:v>206.074</x:v>
      </x:c>
      <x:c r="T12" s="47" t="n">
        <x:v>1606</x:v>
      </x:c>
      <x:c r="U12" s="47" t="n">
        <x:v>1606</x:v>
      </x:c>
      <x:c r="V12" s="47" t="n">
        <x:v>0</x:v>
      </x:c>
      <x:c r="W12" s="47" t="n">
        <x:v>0</x:v>
      </x:c>
      <x:c r="X12" s="47" t="n">
        <x:v>100</x:v>
      </x:c>
      <x:c r="Y12" s="48" t="n">
        <x:v>83.285</x:v>
      </x:c>
      <x:c r="Z12" s="48" t="n">
        <x:v>126.606</x:v>
      </x:c>
      <x:c r="AA12" s="47" t="n">
        <x:v>3</x:v>
      </x:c>
      <x:c r="AB12" s="50" t="b">
        <x:v>1</x:v>
      </x:c>
      <x:c r="AC12" s="50" t="b">
        <x:v>1</x:v>
      </x:c>
      <x:c r="AD12" s="47" t="n">
        <x:v>0</x:v>
      </x:c>
      <x:c r="AE12" s="51" t="n">
        <x:v>0.429357893</x:v>
      </x:c>
      <x:c r="AF12" s="49" t="n">
        <x:v>78.101562</x:v>
      </x:c>
      <x:c r="AG12" s="47" t="n">
        <x:v>1</x:v>
      </x:c>
      <x:c r="AH12" s="49" t="n">
        <x:v>64.452815</x:v>
      </x:c>
      <x:c r="AI12" s="49" t="n">
        <x:v>417.024679</x:v>
      </x:c>
      <x:c r="AJ12" s="49" t="n">
        <x:v>40.132513</x:v>
      </x:c>
      <x:c r="AK12" s="49" t="n">
        <x:v>259.666674</x:v>
      </x:c>
    </x:row>
    <x:row r="15" ht="22" customHeight="1">
      <x:c r="A15" s="31" t="str">
        <x:v>Estatísticas consolidadas</x:v>
      </x:c>
      <x:c r="B15" s="32" t="str">
        <x:v>Estatísticas consolidadas</x:v>
      </x:c>
      <x:c r="C15" s="32" t="str">
        <x:v>Estatísticas consolidadas</x:v>
      </x:c>
      <x:c r="D15" s="32" t="str">
        <x:v>Estatísticas consolidadas</x:v>
      </x:c>
      <x:c r="E15" s="32" t="str">
        <x:v>Estatísticas consolidadas</x:v>
      </x:c>
      <x:c r="F15" s="32" t="str">
        <x:v>Estatísticas consolidadas</x:v>
      </x:c>
      <x:c r="G15" s="33" t="str">
        <x:v>Estatísticas consolidadas</x:v>
      </x:c>
    </x:row>
    <x:row r="16" ht="48" customHeight="1">
      <x:c r="A16" s="43" t="str">
        <x:v>metric</x:v>
      </x:c>
      <x:c r="B16" s="43" t="str">
        <x:v>mean</x:v>
      </x:c>
      <x:c r="C16" s="43" t="str">
        <x:v>median</x:v>
      </x:c>
      <x:c r="D16" s="43" t="str">
        <x:v>sample_stddev</x:v>
      </x:c>
      <x:c r="E16" s="43" t="str">
        <x:v>minimum</x:v>
      </x:c>
      <x:c r="F16" s="43" t="str">
        <x:v>maximum</x:v>
      </x:c>
      <x:c r="G16" s="43" t="str">
        <x:v>aggregation_method</x:v>
      </x:c>
    </x:row>
    <x:row r="17" ht="20" customHeight="1">
      <x:c r="A17" s="46" t="str">
        <x:v>requests_started</x:v>
      </x:c>
      <x:c r="B17" s="47" t="n">
        <x:v>1608</x:v>
      </x:c>
      <x:c r="C17" s="47" t="n">
        <x:v>1609</x:v>
      </x:c>
      <x:c r="D17" s="49" t="n">
        <x:v>1.732051</x:v>
      </x:c>
      <x:c r="E17" s="47" t="n">
        <x:v>1606</x:v>
      </x:c>
      <x:c r="F17" s="47" t="n">
        <x:v>1609</x:v>
      </x:c>
      <x:c r="G17" s="46" t="str">
        <x:v>statistics across the three official run-level values</x:v>
      </x:c>
    </x:row>
    <x:row r="18" ht="20" customHeight="1">
      <x:c r="A18" s="46" t="str">
        <x:v>responses_2xx</x:v>
      </x:c>
      <x:c r="B18" s="47" t="n">
        <x:v>1581</x:v>
      </x:c>
      <x:c r="C18" s="47" t="n">
        <x:v>1606</x:v>
      </x:c>
      <x:c r="D18" s="49" t="n">
        <x:v>45.044423</x:v>
      </x:c>
      <x:c r="E18" s="47" t="n">
        <x:v>1529</x:v>
      </x:c>
      <x:c r="F18" s="47" t="n">
        <x:v>1608</x:v>
      </x:c>
      <x:c r="G18" s="46" t="str">
        <x:v>statistics across the three official run-level values</x:v>
      </x:c>
    </x:row>
    <x:row r="19" ht="20" customHeight="1">
      <x:c r="A19" s="46" t="str">
        <x:v>responses_5xx</x:v>
      </x:c>
      <x:c r="B19" s="49" t="n">
        <x:v>6.666667</x:v>
      </x:c>
      <x:c r="C19" s="47" t="n">
        <x:v>0</x:v>
      </x:c>
      <x:c r="D19" s="49" t="n">
        <x:v>11.547005</x:v>
      </x:c>
      <x:c r="E19" s="47" t="n">
        <x:v>0</x:v>
      </x:c>
      <x:c r="F19" s="47" t="n">
        <x:v>20</x:v>
      </x:c>
      <x:c r="G19" s="46" t="str">
        <x:v>statistics across the three official run-level values</x:v>
      </x:c>
    </x:row>
    <x:row r="20" ht="20" customHeight="1">
      <x:c r="A20" s="46" t="str">
        <x:v>connection_errors</x:v>
      </x:c>
      <x:c r="B20" s="49" t="n">
        <x:v>20.333333</x:v>
      </x:c>
      <x:c r="C20" s="47" t="n">
        <x:v>3</x:v>
      </x:c>
      <x:c r="D20" s="49" t="n">
        <x:v>31.770007</x:v>
      </x:c>
      <x:c r="E20" s="47" t="n">
        <x:v>1</x:v>
      </x:c>
      <x:c r="F20" s="47" t="n">
        <x:v>57</x:v>
      </x:c>
      <x:c r="G20" s="46" t="str">
        <x:v>statistics across the three official run-level values</x:v>
      </x:c>
    </x:row>
    <x:row r="21" ht="20" customHeight="1">
      <x:c r="A21" s="46" t="str">
        <x:v>unexpected_failures</x:v>
      </x:c>
      <x:c r="B21" s="47" t="n">
        <x:v>27</x:v>
      </x:c>
      <x:c r="C21" s="47" t="n">
        <x:v>3</x:v>
      </x:c>
      <x:c r="D21" s="49" t="n">
        <x:v>43.312816</x:v>
      </x:c>
      <x:c r="E21" s="47" t="n">
        <x:v>1</x:v>
      </x:c>
      <x:c r="F21" s="47" t="n">
        <x:v>77</x:v>
      </x:c>
      <x:c r="G21" s="46" t="str">
        <x:v>statistics across the three official run-level values</x:v>
      </x:c>
    </x:row>
    <x:row r="22" ht="20" customHeight="1">
      <x:c r="A22" s="46" t="str">
        <x:v>unexpected_failures_percent</x:v>
      </x:c>
      <x:c r="B22" s="48" t="n">
        <x:v>1.681</x:v>
      </x:c>
      <x:c r="C22" s="48" t="n">
        <x:v>0.186</x:v>
      </x:c>
      <x:c r="D22" s="49" t="n">
        <x:v>2.697516</x:v>
      </x:c>
      <x:c r="E22" s="48" t="n">
        <x:v>0.062</x:v>
      </x:c>
      <x:c r="F22" s="48" t="n">
        <x:v>4.795</x:v>
      </x:c>
      <x:c r="G22" s="46" t="str">
        <x:v>statistics across the three official run-level values</x:v>
      </x:c>
    </x:row>
    <x:row r="23" ht="20" customHeight="1">
      <x:c r="A23" s="46" t="str">
        <x:v>dropped_iterations</x:v>
      </x:c>
      <x:c r="B23" s="47" t="n">
        <x:v>1</x:v>
      </x:c>
      <x:c r="C23" s="47" t="n">
        <x:v>0</x:v>
      </x:c>
      <x:c r="D23" s="49" t="n">
        <x:v>1.732051</x:v>
      </x:c>
      <x:c r="E23" s="47" t="n">
        <x:v>0</x:v>
      </x:c>
      <x:c r="F23" s="47" t="n">
        <x:v>3</x:v>
      </x:c>
      <x:c r="G23" s="46" t="str">
        <x:v>statistics across the three official run-level values</x:v>
      </x:c>
    </x:row>
    <x:row r="24" ht="20" customHeight="1">
      <x:c r="A24" s="46" t="str">
        <x:v>dropped_iterations_percent</x:v>
      </x:c>
      <x:c r="B24" s="48" t="n">
        <x:v>0.062</x:v>
      </x:c>
      <x:c r="C24" s="47" t="n">
        <x:v>0</x:v>
      </x:c>
      <x:c r="D24" s="49" t="n">
        <x:v>0.107387</x:v>
      </x:c>
      <x:c r="E24" s="47" t="n">
        <x:v>0</x:v>
      </x:c>
      <x:c r="F24" s="48" t="n">
        <x:v>0.186</x:v>
      </x:c>
      <x:c r="G24" s="46" t="str">
        <x:v>statistics across the three official run-level values</x:v>
      </x:c>
    </x:row>
    <x:row r="25" ht="20" customHeight="1">
      <x:c r="A25" s="46" t="str">
        <x:v>throughput_rps</x:v>
      </x:c>
      <x:c r="B25" s="53" t="n">
        <x:v>16.71304</x:v>
      </x:c>
      <x:c r="C25" s="49" t="n">
        <x:v>17.878834</x:v>
      </x:c>
      <x:c r="D25" s="49" t="n">
        <x:v>2.019267</x:v>
      </x:c>
      <x:c r="E25" s="49" t="n">
        <x:v>14.381391</x:v>
      </x:c>
      <x:c r="F25" s="49" t="n">
        <x:v>17.878895</x:v>
      </x:c>
      <x:c r="G25" s="46" t="str">
        <x:v>statistics across the three official run-level values</x:v>
      </x:c>
    </x:row>
    <x:row r="26" ht="20" customHeight="1">
      <x:c r="A26" s="46" t="str">
        <x:v>accepted_throughput_rps</x:v>
      </x:c>
      <x:c r="B26" s="49" t="n">
        <x:v>16.468385</x:v>
      </x:c>
      <x:c r="C26" s="53" t="n">
        <x:v>17.84556</x:v>
      </x:c>
      <x:c r="D26" s="49" t="n">
        <x:v>2.404556</x:v>
      </x:c>
      <x:c r="E26" s="49" t="n">
        <x:v>13.691872</x:v>
      </x:c>
      <x:c r="F26" s="49" t="n">
        <x:v>17.867722</x:v>
      </x:c>
      <x:c r="G26" s="46" t="str">
        <x:v>statistics across the three official run-level values</x:v>
      </x:c>
    </x:row>
    <x:row r="27" ht="20" customHeight="1">
      <x:c r="A27" s="46" t="str">
        <x:v>latency_average_ms</x:v>
      </x:c>
      <x:c r="B27" s="48" t="n">
        <x:v>1087.822</x:v>
      </x:c>
      <x:c r="C27" s="48" t="n">
        <x:v>36.998</x:v>
      </x:c>
      <x:c r="D27" s="49" t="n">
        <x:v>1821.446451</x:v>
      </x:c>
      <x:c r="E27" s="48" t="n">
        <x:v>35.421</x:v>
      </x:c>
      <x:c r="F27" s="48" t="n">
        <x:v>3191.047</x:v>
      </x:c>
      <x:c r="G27" s="46" t="str">
        <x:v>statistics across the three official run-level values</x:v>
      </x:c>
    </x:row>
    <x:row r="28" ht="20" customHeight="1">
      <x:c r="A28" s="46" t="str">
        <x:v>latency_p95_ms</x:v>
      </x:c>
      <x:c r="B28" s="49" t="n">
        <x:v>10395.194333</x:v>
      </x:c>
      <x:c r="C28" s="48" t="n">
        <x:v>78.069</x:v>
      </x:c>
      <x:c r="D28" s="49" t="n">
        <x:v>17871.630797</x:v>
      </x:c>
      <x:c r="E28" s="48" t="n">
        <x:v>75.938</x:v>
      </x:c>
      <x:c r="F28" s="48" t="n">
        <x:v>31031.576</x:v>
      </x:c>
      <x:c r="G28" s="46" t="str">
        <x:v>run-level percentiles; raw samples were not pooled</x:v>
      </x:c>
    </x:row>
    <x:row r="29" ht="20" customHeight="1">
      <x:c r="A29" s="46" t="str">
        <x:v>latency_p99_ms</x:v>
      </x:c>
      <x:c r="B29" s="49" t="n">
        <x:v>18146.302333</x:v>
      </x:c>
      <x:c r="C29" s="48" t="n">
        <x:v>205.671</x:v>
      </x:c>
      <x:c r="D29" s="53" t="n">
        <x:v>31153.84876</x:v>
      </x:c>
      <x:c r="E29" s="48" t="n">
        <x:v>113.607</x:v>
      </x:c>
      <x:c r="F29" s="48" t="n">
        <x:v>54119.629</x:v>
      </x:c>
      <x:c r="G29" s="46" t="str">
        <x:v>run-level percentiles; raw samples were not pooled</x:v>
      </x:c>
    </x:row>
    <x:row r="30" ht="20" customHeight="1">
      <x:c r="A30" s="46" t="str">
        <x:v>response_2xx_average_ms</x:v>
      </x:c>
      <x:c r="B30" s="52" t="n">
        <x:v>339.26</x:v>
      </x:c>
      <x:c r="C30" s="48" t="n">
        <x:v>37.038</x:v>
      </x:c>
      <x:c r="D30" s="49" t="n">
        <x:v>524.889982</x:v>
      </x:c>
      <x:c r="E30" s="48" t="n">
        <x:v>35.392</x:v>
      </x:c>
      <x:c r="F30" s="52" t="n">
        <x:v>945.35</x:v>
      </x:c>
      <x:c r="G30" s="46" t="str">
        <x:v>statistics across the three official run-level values</x:v>
      </x:c>
    </x:row>
    <x:row r="31" ht="20" customHeight="1">
      <x:c r="A31" s="46" t="str">
        <x:v>response_2xx_p95_ms</x:v>
      </x:c>
      <x:c r="B31" s="49" t="n">
        <x:v>1091.444667</x:v>
      </x:c>
      <x:c r="C31" s="48" t="n">
        <x:v>77.999</x:v>
      </x:c>
      <x:c r="D31" s="49" t="n">
        <x:v>1757.070854</x:v>
      </x:c>
      <x:c r="E31" s="47" t="n">
        <x:v>76</x:v>
      </x:c>
      <x:c r="F31" s="48" t="n">
        <x:v>3120.335</x:v>
      </x:c>
      <x:c r="G31" s="46" t="str">
        <x:v>run-level percentiles; raw samples were not pooled</x:v>
      </x:c>
    </x:row>
    <x:row r="32" ht="20" customHeight="1">
      <x:c r="A32" s="46" t="str">
        <x:v>response_2xx_p99_ms</x:v>
      </x:c>
      <x:c r="B32" s="48" t="n">
        <x:v>10037.611</x:v>
      </x:c>
      <x:c r="C32" s="48" t="n">
        <x:v>206.074</x:v>
      </x:c>
      <x:c r="D32" s="49" t="n">
        <x:v>17108.848095</x:v>
      </x:c>
      <x:c r="E32" s="48" t="n">
        <x:v>113.624</x:v>
      </x:c>
      <x:c r="F32" s="48" t="n">
        <x:v>29793.135</x:v>
      </x:c>
      <x:c r="G32" s="46" t="str">
        <x:v>run-level percentiles; raw samples were not pooled</x:v>
      </x:c>
    </x:row>
    <x:row r="33" ht="20" customHeight="1">
      <x:c r="A33" s="46" t="str">
        <x:v>orders_created</x:v>
      </x:c>
      <x:c r="B33" s="47" t="n">
        <x:v>1586</x:v>
      </x:c>
      <x:c r="C33" s="47" t="n">
        <x:v>1606</x:v>
      </x:c>
      <x:c r="D33" s="49" t="n">
        <x:v>36.386811</x:v>
      </x:c>
      <x:c r="E33" s="47" t="n">
        <x:v>1544</x:v>
      </x:c>
      <x:c r="F33" s="47" t="n">
        <x:v>1608</x:v>
      </x:c>
      <x:c r="G33" s="46" t="str">
        <x:v>statistics across the three official run-level values</x:v>
      </x:c>
    </x:row>
    <x:row r="34" ht="20" customHeight="1">
      <x:c r="A34" s="46" t="str">
        <x:v>orders_completed</x:v>
      </x:c>
      <x:c r="B34" s="47" t="n">
        <x:v>1586</x:v>
      </x:c>
      <x:c r="C34" s="47" t="n">
        <x:v>1606</x:v>
      </x:c>
      <x:c r="D34" s="49" t="n">
        <x:v>36.386811</x:v>
      </x:c>
      <x:c r="E34" s="47" t="n">
        <x:v>1544</x:v>
      </x:c>
      <x:c r="F34" s="47" t="n">
        <x:v>1608</x:v>
      </x:c>
      <x:c r="G34" s="46" t="str">
        <x:v>statistics across the three official run-level values</x:v>
      </x:c>
    </x:row>
    <x:row r="35" ht="20" customHeight="1">
      <x:c r="A35" s="46" t="str">
        <x:v>orders_pending</x:v>
      </x:c>
      <x:c r="B35" s="47" t="n">
        <x:v>0</x:v>
      </x:c>
      <x:c r="C35" s="47" t="n">
        <x:v>0</x:v>
      </x:c>
      <x:c r="D35" s="47" t="n">
        <x:v>0</x:v>
      </x:c>
      <x:c r="E35" s="47" t="n">
        <x:v>0</x:v>
      </x:c>
      <x:c r="F35" s="47" t="n">
        <x:v>0</x:v>
      </x:c>
      <x:c r="G35" s="46" t="str">
        <x:v>statistics across the three official run-level values</x:v>
      </x:c>
    </x:row>
    <x:row r="36" ht="20" customHeight="1">
      <x:c r="A36" s="46" t="str">
        <x:v>orders_failed</x:v>
      </x:c>
      <x:c r="B36" s="47" t="n">
        <x:v>0</x:v>
      </x:c>
      <x:c r="C36" s="47" t="n">
        <x:v>0</x:v>
      </x:c>
      <x:c r="D36" s="47" t="n">
        <x:v>0</x:v>
      </x:c>
      <x:c r="E36" s="47" t="n">
        <x:v>0</x:v>
      </x:c>
      <x:c r="F36" s="47" t="n">
        <x:v>0</x:v>
      </x:c>
      <x:c r="G36" s="46" t="str">
        <x:v>statistics across the three official run-level values</x:v>
      </x:c>
    </x:row>
    <x:row r="37" ht="20" customHeight="1">
      <x:c r="A37" s="46" t="str">
        <x:v>completion_rate_percent</x:v>
      </x:c>
      <x:c r="B37" s="47" t="n">
        <x:v>100</x:v>
      </x:c>
      <x:c r="C37" s="47" t="n">
        <x:v>100</x:v>
      </x:c>
      <x:c r="D37" s="47" t="n">
        <x:v>0</x:v>
      </x:c>
      <x:c r="E37" s="47" t="n">
        <x:v>100</x:v>
      </x:c>
      <x:c r="F37" s="47" t="n">
        <x:v>100</x:v>
      </x:c>
      <x:c r="G37" s="46" t="str">
        <x:v>statistics across the three official run-level values</x:v>
      </x:c>
    </x:row>
    <x:row r="38" ht="20" customHeight="1">
      <x:c r="A38" s="46" t="str">
        <x:v>order_processing_p95_ms</x:v>
      </x:c>
      <x:c r="B38" s="49" t="n">
        <x:v>229.919667</x:v>
      </x:c>
      <x:c r="C38" s="48" t="n">
        <x:v>83.285</x:v>
      </x:c>
      <x:c r="D38" s="49" t="n">
        <x:v>261.792359</x:v>
      </x:c>
      <x:c r="E38" s="48" t="n">
        <x:v>74.307</x:v>
      </x:c>
      <x:c r="F38" s="48" t="n">
        <x:v>532.167</x:v>
      </x:c>
      <x:c r="G38" s="46" t="str">
        <x:v>run-level percentiles; raw samples were not pooled</x:v>
      </x:c>
    </x:row>
    <x:row r="39" ht="20" customHeight="1">
      <x:c r="A39" s="46" t="str">
        <x:v>order_processing_p99_ms</x:v>
      </x:c>
      <x:c r="B39" s="49" t="n">
        <x:v>295.908333</x:v>
      </x:c>
      <x:c r="C39" s="48" t="n">
        <x:v>127.635</x:v>
      </x:c>
      <x:c r="D39" s="49" t="n">
        <x:v>292.349556</x:v>
      </x:c>
      <x:c r="E39" s="48" t="n">
        <x:v>126.606</x:v>
      </x:c>
      <x:c r="F39" s="48" t="n">
        <x:v>633.484</x:v>
      </x:c>
      <x:c r="G39" s="46" t="str">
        <x:v>run-level percentiles; raw samples were not pooled</x:v>
      </x:c>
    </x:row>
    <x:row r="40" ht="20" customHeight="1">
      <x:c r="A40" s="46" t="str">
        <x:v>drain_duration_seconds</x:v>
      </x:c>
      <x:c r="B40" s="49" t="n">
        <x:v>3.333333</x:v>
      </x:c>
      <x:c r="C40" s="47" t="n">
        <x:v>3</x:v>
      </x:c>
      <x:c r="D40" s="53" t="n">
        <x:v>0.57735</x:v>
      </x:c>
      <x:c r="E40" s="47" t="n">
        <x:v>3</x:v>
      </x:c>
      <x:c r="F40" s="47" t="n">
        <x:v>4</x:v>
      </x:c>
      <x:c r="G40" s="46" t="str">
        <x:v>statistics across the three official run-level values</x:v>
      </x:c>
    </x:row>
    <x:row r="41" ht="20" customHeight="1">
      <x:c r="A41" s="46" t="str">
        <x:v>restarts</x:v>
      </x:c>
      <x:c r="B41" s="49" t="n">
        <x:v>0.333333</x:v>
      </x:c>
      <x:c r="C41" s="47" t="n">
        <x:v>0</x:v>
      </x:c>
      <x:c r="D41" s="53" t="n">
        <x:v>0.57735</x:v>
      </x:c>
      <x:c r="E41" s="47" t="n">
        <x:v>0</x:v>
      </x:c>
      <x:c r="F41" s="47" t="n">
        <x:v>1</x:v>
      </x:c>
      <x:c r="G41" s="46" t="str">
        <x:v>statistics across the three official run-level values</x:v>
      </x:c>
    </x:row>
    <x:row r="42" ht="20" customHeight="1">
      <x:c r="A42" s="46" t="str">
        <x:v>api_peak_cpu_cores</x:v>
      </x:c>
      <x:c r="B42" s="49" t="n">
        <x:v>0.470161</x:v>
      </x:c>
      <x:c r="C42" s="49" t="n">
        <x:v>0.482932</x:v>
      </x:c>
      <x:c r="D42" s="49" t="n">
        <x:v>0.036151</x:v>
      </x:c>
      <x:c r="E42" s="49" t="n">
        <x:v>0.429358</x:v>
      </x:c>
      <x:c r="F42" s="49" t="n">
        <x:v>0.498193</x:v>
      </x:c>
      <x:c r="G42" s="46" t="str">
        <x:v>statistics across the three official run-level values</x:v>
      </x:c>
    </x:row>
    <x:row r="43" ht="20" customHeight="1">
      <x:c r="A43" s="46" t="str">
        <x:v>api_peak_memory_mib</x:v>
      </x:c>
      <x:c r="B43" s="49" t="n">
        <x:v>81.164062</x:v>
      </x:c>
      <x:c r="C43" s="49" t="n">
        <x:v>78.613281</x:v>
      </x:c>
      <x:c r="D43" s="49" t="n">
        <x:v>4.867973</x:v>
      </x:c>
      <x:c r="E43" s="49" t="n">
        <x:v>78.101562</x:v>
      </x:c>
      <x:c r="F43" s="49" t="n">
        <x:v>86.777344</x:v>
      </x:c>
      <x:c r="G43" s="46" t="str">
        <x:v>statistics across the three official run-level values</x:v>
      </x:c>
    </x:row>
    <x:row r="44" ht="20" customHeight="1">
      <x:c r="A44" s="46" t="str">
        <x:v>max_backlog</x:v>
      </x:c>
      <x:c r="B44" s="49" t="n">
        <x:v>1.333333</x:v>
      </x:c>
      <x:c r="C44" s="47" t="n">
        <x:v>1</x:v>
      </x:c>
      <x:c r="D44" s="53" t="n">
        <x:v>0.57735</x:v>
      </x:c>
      <x:c r="E44" s="47" t="n">
        <x:v>1</x:v>
      </x:c>
      <x:c r="F44" s="47" t="n">
        <x:v>2</x:v>
      </x:c>
      <x:c r="G44" s="46" t="str">
        <x:v>statistics across the three official run-level values</x:v>
      </x:c>
    </x:row>
    <x:row r="45" ht="20" customHeight="1">
      <x:c r="A45" s="46" t="str">
        <x:v>app_cpu_seconds_load</x:v>
      </x:c>
      <x:c r="B45" s="49" t="n">
        <x:v>63.861274</x:v>
      </x:c>
      <x:c r="C45" s="49" t="n">
        <x:v>64.452815</x:v>
      </x:c>
      <x:c r="D45" s="49" t="n">
        <x:v>4.961128</x:v>
      </x:c>
      <x:c r="E45" s="49" t="n">
        <x:v>58.630896</x:v>
      </x:c>
      <x:c r="F45" s="49" t="n">
        <x:v>68.500111</x:v>
      </x:c>
      <x:c r="G45" s="46" t="str">
        <x:v>statistics across the three official run-level values</x:v>
      </x:c>
    </x:row>
    <x:row r="46" ht="20" customHeight="1">
      <x:c r="A46" s="46" t="str">
        <x:v>app_memory_mib_minutes_load</x:v>
      </x:c>
      <x:c r="B46" s="49" t="n">
        <x:v>481.001262</x:v>
      </x:c>
      <x:c r="C46" s="49" t="n">
        <x:v>417.024679</x:v>
      </x:c>
      <x:c r="D46" s="49" t="n">
        <x:v>127.384918</x:v>
      </x:c>
      <x:c r="E46" s="49" t="n">
        <x:v>398.284868</x:v>
      </x:c>
      <x:c r="F46" s="49" t="n">
        <x:v>627.694239</x:v>
      </x:c>
      <x:c r="G46" s="46" t="str">
        <x:v>statistics across the three official run-level values</x:v>
      </x:c>
    </x:row>
    <x:row r="47" ht="20" customHeight="1">
      <x:c r="A47" s="46" t="str">
        <x:v>app_cpu_seconds_per_1000_completed_orders</x:v>
      </x:c>
      <x:c r="B47" s="49" t="n">
        <x:v>40.319957</x:v>
      </x:c>
      <x:c r="C47" s="49" t="n">
        <x:v>40.132513</x:v>
      </x:c>
      <x:c r="D47" s="49" t="n">
        <x:v>3.955011</x:v>
      </x:c>
      <x:c r="E47" s="48" t="n">
        <x:v>36.462</x:v>
      </x:c>
      <x:c r="F47" s="49" t="n">
        <x:v>44.365357</x:v>
      </x:c>
      <x:c r="G47" s="46" t="str">
        <x:v>statistics across the three official run-level values</x:v>
      </x:c>
    </x:row>
    <x:row r="48" ht="20" customHeight="1">
      <x:c r="A48" s="46" t="str">
        <x:v>app_memory_mib_minutes_per_1000_completed_orders</x:v>
      </x:c>
      <x:c r="B48" s="49" t="n">
        <x:v>304.631329</x:v>
      </x:c>
      <x:c r="C48" s="49" t="n">
        <x:v>259.666674</x:v>
      </x:c>
      <x:c r="D48" s="49" t="n">
        <x:v>88.456469</x:v>
      </x:c>
      <x:c r="E48" s="49" t="n">
        <x:v>247.689594</x:v>
      </x:c>
      <x:c r="F48" s="49" t="n">
        <x:v>406.537719</x:v>
      </x:c>
      <x:c r="G48" s="46" t="str">
        <x:v>statistics across the three official run-level values</x:v>
      </x:c>
    </x:row>
    <x:row r="49" ht="20" customHeight="1">
      <x:c r="A49" s="46" t="str">
        <x:v>initial_api_replicas</x:v>
      </x:c>
      <x:c r="B49" s="47" t="n">
        <x:v>1</x:v>
      </x:c>
      <x:c r="C49" s="47" t="n">
        <x:v>1</x:v>
      </x:c>
      <x:c r="D49" s="47" t="n">
        <x:v>0</x:v>
      </x:c>
      <x:c r="E49" s="47" t="n">
        <x:v>1</x:v>
      </x:c>
      <x:c r="F49" s="47" t="n">
        <x:v>1</x:v>
      </x:c>
      <x:c r="G49" s="46" t="str">
        <x:v>statistics across the three official run-level values</x:v>
      </x:c>
    </x:row>
    <x:row r="50" ht="20" customHeight="1">
      <x:c r="A50" s="46" t="str">
        <x:v>configured_min_replicas</x:v>
      </x:c>
      <x:c r="B50" s="47" t="n">
        <x:v>1</x:v>
      </x:c>
      <x:c r="C50" s="47" t="n">
        <x:v>1</x:v>
      </x:c>
      <x:c r="D50" s="47" t="n">
        <x:v>0</x:v>
      </x:c>
      <x:c r="E50" s="47" t="n">
        <x:v>1</x:v>
      </x:c>
      <x:c r="F50" s="47" t="n">
        <x:v>1</x:v>
      </x:c>
      <x:c r="G50" s="46" t="str">
        <x:v>statistics across the three official run-level values</x:v>
      </x:c>
    </x:row>
    <x:row r="51" ht="20" customHeight="1">
      <x:c r="A51" s="46" t="str">
        <x:v>configured_max_replicas</x:v>
      </x:c>
      <x:c r="B51" s="47" t="n">
        <x:v>5</x:v>
      </x:c>
      <x:c r="C51" s="47" t="n">
        <x:v>5</x:v>
      </x:c>
      <x:c r="D51" s="47" t="n">
        <x:v>0</x:v>
      </x:c>
      <x:c r="E51" s="47" t="n">
        <x:v>5</x:v>
      </x:c>
      <x:c r="F51" s="47" t="n">
        <x:v>5</x:v>
      </x:c>
      <x:c r="G51" s="46" t="str">
        <x:v>statistics across the three official run-level values</x:v>
      </x:c>
    </x:row>
    <x:row r="52" ht="20" customHeight="1">
      <x:c r="A52" s="46" t="str">
        <x:v>api_pods_observed_min</x:v>
      </x:c>
      <x:c r="B52" s="47" t="n">
        <x:v>1</x:v>
      </x:c>
      <x:c r="C52" s="47" t="n">
        <x:v>1</x:v>
      </x:c>
      <x:c r="D52" s="47" t="n">
        <x:v>0</x:v>
      </x:c>
      <x:c r="E52" s="47" t="n">
        <x:v>1</x:v>
      </x:c>
      <x:c r="F52" s="47" t="n">
        <x:v>1</x:v>
      </x:c>
      <x:c r="G52" s="46" t="str">
        <x:v>statistics across the three official run-level values</x:v>
      </x:c>
    </x:row>
    <x:row r="53" ht="20" customHeight="1">
      <x:c r="A53" s="46" t="str">
        <x:v>api_pods_observed_max</x:v>
      </x:c>
      <x:c r="B53" s="47" t="n">
        <x:v>5</x:v>
      </x:c>
      <x:c r="C53" s="47" t="n">
        <x:v>5</x:v>
      </x:c>
      <x:c r="D53" s="47" t="n">
        <x:v>0</x:v>
      </x:c>
      <x:c r="E53" s="47" t="n">
        <x:v>5</x:v>
      </x:c>
      <x:c r="F53" s="47" t="n">
        <x:v>5</x:v>
      </x:c>
      <x:c r="G53" s="46" t="str">
        <x:v>statistics across the three official run-level values</x:v>
      </x:c>
    </x:row>
    <x:row r="54" ht="20" customHeight="1">
      <x:c r="A54" s="46" t="str">
        <x:v>hpa_desired_replicas_min</x:v>
      </x:c>
      <x:c r="B54" s="47" t="n">
        <x:v>1</x:v>
      </x:c>
      <x:c r="C54" s="47" t="n">
        <x:v>1</x:v>
      </x:c>
      <x:c r="D54" s="47" t="n">
        <x:v>0</x:v>
      </x:c>
      <x:c r="E54" s="47" t="n">
        <x:v>1</x:v>
      </x:c>
      <x:c r="F54" s="47" t="n">
        <x:v>1</x:v>
      </x:c>
      <x:c r="G54" s="46" t="str">
        <x:v>statistics across the three official run-level values</x:v>
      </x:c>
    </x:row>
    <x:row r="55" ht="20" customHeight="1">
      <x:c r="A55" s="46" t="str">
        <x:v>hpa_desired_replicas_max</x:v>
      </x:c>
      <x:c r="B55" s="47" t="n">
        <x:v>5</x:v>
      </x:c>
      <x:c r="C55" s="47" t="n">
        <x:v>5</x:v>
      </x:c>
      <x:c r="D55" s="47" t="n">
        <x:v>0</x:v>
      </x:c>
      <x:c r="E55" s="47" t="n">
        <x:v>5</x:v>
      </x:c>
      <x:c r="F55" s="47" t="n">
        <x:v>5</x:v>
      </x:c>
      <x:c r="G55" s="46" t="str">
        <x:v>statistics across the three official run-level values</x:v>
      </x:c>
    </x:row>
    <x:row r="56" ht="20" customHeight="1">
      <x:c r="A56" s="46" t="str">
        <x:v>seconds_from_load_start_to_first_scale_request</x:v>
      </x:c>
      <x:c r="B56" s="49" t="n">
        <x:v>29.278667</x:v>
      </x:c>
      <x:c r="C56" s="48" t="n">
        <x:v>24.258</x:v>
      </x:c>
      <x:c r="D56" s="53" t="n">
        <x:v>8.75327</x:v>
      </x:c>
      <x:c r="E56" s="48" t="n">
        <x:v>24.192</x:v>
      </x:c>
      <x:c r="F56" s="48" t="n">
        <x:v>39.386</x:v>
      </x:c>
      <x:c r="G56" s="46" t="str">
        <x:v>statistics across the three official run-level values</x:v>
      </x:c>
    </x:row>
    <x:row r="57" ht="20" customHeight="1">
      <x:c r="A57" s="46" t="str">
        <x:v>seconds_from_load_start_to_multiple_api_pods</x:v>
      </x:c>
      <x:c r="B57" s="49" t="n">
        <x:v>29.278667</x:v>
      </x:c>
      <x:c r="C57" s="48" t="n">
        <x:v>24.258</x:v>
      </x:c>
      <x:c r="D57" s="53" t="n">
        <x:v>8.75327</x:v>
      </x:c>
      <x:c r="E57" s="48" t="n">
        <x:v>24.192</x:v>
      </x:c>
      <x:c r="F57" s="48" t="n">
        <x:v>39.386</x:v>
      </x:c>
      <x:c r="G57" s="46" t="str">
        <x:v>statistics across the three official run-level values</x:v>
      </x:c>
    </x:row>
    <x:row r="58" ht="20" customHeight="1">
      <x:c r="A58" s="46" t="str">
        <x:v>target_cpu_utilization</x:v>
      </x:c>
      <x:c r="B58" s="47" t="n">
        <x:v>70</x:v>
      </x:c>
      <x:c r="C58" s="47" t="n">
        <x:v>70</x:v>
      </x:c>
      <x:c r="D58" s="47" t="n">
        <x:v>0</x:v>
      </x:c>
      <x:c r="E58" s="47" t="n">
        <x:v>70</x:v>
      </x:c>
      <x:c r="F58" s="47" t="n">
        <x:v>70</x:v>
      </x:c>
      <x:c r="G58" s="46" t="str">
        <x:v>statistics across the three official run-level values</x:v>
      </x:c>
    </x:row>
    <x:row r="59" ht="20" customHeight="1">
      <x:c r="A59" s="46" t="str">
        <x:v>scale_up_stabilization_seconds</x:v>
      </x:c>
      <x:c r="B59" s="47" t="n">
        <x:v>0</x:v>
      </x:c>
      <x:c r="C59" s="47" t="n">
        <x:v>0</x:v>
      </x:c>
      <x:c r="D59" s="47" t="n">
        <x:v>0</x:v>
      </x:c>
      <x:c r="E59" s="47" t="n">
        <x:v>0</x:v>
      </x:c>
      <x:c r="F59" s="47" t="n">
        <x:v>0</x:v>
      </x:c>
      <x:c r="G59" s="46" t="str">
        <x:v>statistics across the three official run-level values</x:v>
      </x:c>
    </x:row>
    <x:row r="60" ht="20" customHeight="1">
      <x:c r="A60" s="46" t="str">
        <x:v>scale_down_stabilization_seconds</x:v>
      </x:c>
      <x:c r="B60" s="47" t="n">
        <x:v>120</x:v>
      </x:c>
      <x:c r="C60" s="47" t="n">
        <x:v>120</x:v>
      </x:c>
      <x:c r="D60" s="47" t="n">
        <x:v>0</x:v>
      </x:c>
      <x:c r="E60" s="47" t="n">
        <x:v>120</x:v>
      </x:c>
      <x:c r="F60" s="47" t="n">
        <x:v>120</x:v>
      </x:c>
      <x:c r="G60" s="46" t="str">
        <x:v>statistics across the three official run-level values</x:v>
      </x:c>
    </x:row>
  </x:sheetData>
  <x:mergeCells>
    <x:mergeCell ref="A5:H6"/>
    <x:mergeCell ref="A8:H8"/>
    <x:mergeCell ref="A15:G15"/>
  </x:mergeCells>
  <x:pageMargins left="0.7" right="0.7" top="0.75" bottom="0.75" header="0.3" footer="0.3"/>
  <x:tableParts count="2">
    <x:tablePart xmlns:r="http://schemas.openxmlformats.org/officeDocument/2006/relationships" r:id="rId1"/>
    <x:tablePart xmlns:r="http://schemas.openxmlformats.org/officeDocument/2006/relationships" r:id="rId2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9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25" hidden="0" customWidth="1"/>
    <x:col min="14" max="14" width="21" hidden="0" customWidth="1"/>
    <x:col min="15" max="15" width="21" hidden="0" customWidth="1"/>
  </x:cols>
  <x:sheetData>
    <x:row r="2" ht="24" customHeight="1">
      <x:c r="A2" s="2" t="str">
        <x:v>Resultados do C2 por estágio de carga</x:v>
      </x:c>
    </x:row>
    <x:row r="3" ht="20" customHeight="1">
      <x:c r="A3" s="4" t="str">
        <x:v>As doze linhas correspondem aos quatro estágios de cada uma das três execuções oficiais.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31" t="str">
        <x:v>Métricas por estágio</x:v>
      </x:c>
      <x:c r="B5" s="32" t="str">
        <x:v>Métricas por estágio</x:v>
      </x:c>
      <x:c r="C5" s="32" t="str">
        <x:v>Métricas por estágio</x:v>
      </x:c>
      <x:c r="D5" s="32" t="str">
        <x:v>Métricas por estágio</x:v>
      </x:c>
      <x:c r="E5" s="32" t="str">
        <x:v>Métricas por estágio</x:v>
      </x:c>
      <x:c r="F5" s="32" t="str">
        <x:v>Métricas por estágio</x:v>
      </x:c>
      <x:c r="G5" s="32" t="str">
        <x:v>Métricas por estágio</x:v>
      </x:c>
      <x:c r="H5" s="33" t="str">
        <x:v>Métricas por estágio</x:v>
      </x:c>
    </x:row>
    <x:row r="6" ht="48" customHeight="1">
      <x:c r="A6" s="43" t="str">
        <x:v>run_id</x:v>
      </x:c>
      <x:c r="B6" s="43" t="str">
        <x:v>stage</x:v>
      </x:c>
      <x:c r="C6" s="43" t="str">
        <x:v>target_rps</x:v>
      </x:c>
      <x:c r="D6" s="43" t="str">
        <x:v>duration_seconds</x:v>
      </x:c>
      <x:c r="E6" s="43" t="str">
        <x:v>requests_started</x:v>
      </x:c>
      <x:c r="F6" s="43" t="str">
        <x:v>responses_2xx</x:v>
      </x:c>
      <x:c r="G6" s="43" t="str">
        <x:v>responses_5xx</x:v>
      </x:c>
      <x:c r="H6" s="43" t="str">
        <x:v>connection_errors</x:v>
      </x:c>
      <x:c r="I6" s="43" t="str">
        <x:v>dropped_iterations</x:v>
      </x:c>
      <x:c r="J6" s="43" t="str">
        <x:v>latency_average_ms</x:v>
      </x:c>
      <x:c r="K6" s="43" t="str">
        <x:v>latency_p95_ms</x:v>
      </x:c>
      <x:c r="L6" s="43" t="str">
        <x:v>latency_p99_ms</x:v>
      </x:c>
      <x:c r="M6" s="43" t="str">
        <x:v>response_2xx_average_ms</x:v>
      </x:c>
      <x:c r="N6" s="43" t="str">
        <x:v>response_2xx_p95_ms</x:v>
      </x:c>
      <x:c r="O6" s="43" t="str">
        <x:v>response_2xx_p99_ms</x:v>
      </x:c>
    </x:row>
    <x:row r="7" ht="20" customHeight="1">
      <x:c r="A7" s="46" t="str">
        <x:v>c2-run-1</x:v>
      </x:c>
      <x:c r="B7" s="46" t="str">
        <x:v>stage_1</x:v>
      </x:c>
      <x:c r="C7" s="47" t="n">
        <x:v>20</x:v>
      </x:c>
      <x:c r="D7" s="47" t="n">
        <x:v>20</x:v>
      </x:c>
      <x:c r="E7" s="47" t="n">
        <x:v>209</x:v>
      </x:c>
      <x:c r="F7" s="47" t="n">
        <x:v>209</x:v>
      </x:c>
      <x:c r="G7" s="47" t="n">
        <x:v>0</x:v>
      </x:c>
      <x:c r="H7" s="47" t="n">
        <x:v>0</x:v>
      </x:c>
      <x:c r="I7" s="47" t="n">
        <x:v>0</x:v>
      </x:c>
      <x:c r="J7" s="48" t="n">
        <x:v>30.058</x:v>
      </x:c>
      <x:c r="K7" s="48" t="n">
        <x:v>52.395</x:v>
      </x:c>
      <x:c r="L7" s="63" t="n">
        <x:v>67.5</x:v>
      </x:c>
      <x:c r="M7" s="48" t="n">
        <x:v>30.058</x:v>
      </x:c>
      <x:c r="N7" s="48" t="n">
        <x:v>52.395</x:v>
      </x:c>
      <x:c r="O7" s="63" t="n">
        <x:v>67.5</x:v>
      </x:c>
    </x:row>
    <x:row r="8" ht="20" customHeight="1">
      <x:c r="A8" s="46" t="str">
        <x:v>c2-run-1</x:v>
      </x:c>
      <x:c r="B8" s="46" t="str">
        <x:v>stage_2</x:v>
      </x:c>
      <x:c r="C8" s="47" t="n">
        <x:v>22</x:v>
      </x:c>
      <x:c r="D8" s="47" t="n">
        <x:v>30</x:v>
      </x:c>
      <x:c r="E8" s="47" t="n">
        <x:v>630</x:v>
      </x:c>
      <x:c r="F8" s="47" t="n">
        <x:v>629</x:v>
      </x:c>
      <x:c r="G8" s="47" t="n">
        <x:v>0</x:v>
      </x:c>
      <x:c r="H8" s="47" t="n">
        <x:v>1</x:v>
      </x:c>
      <x:c r="I8" s="47" t="n">
        <x:v>0</x:v>
      </x:c>
      <x:c r="J8" s="48" t="n">
        <x:v>38.942</x:v>
      </x:c>
      <x:c r="K8" s="48" t="n">
        <x:v>94.883</x:v>
      </x:c>
      <x:c r="L8" s="52" t="n">
        <x:v>152.39</x:v>
      </x:c>
      <x:c r="M8" s="48" t="n">
        <x:v>38.873</x:v>
      </x:c>
      <x:c r="N8" s="52" t="n">
        <x:v>95.01</x:v>
      </x:c>
      <x:c r="O8" s="48" t="n">
        <x:v>152.471</x:v>
      </x:c>
    </x:row>
    <x:row r="9" ht="20" customHeight="1">
      <x:c r="A9" s="46" t="str">
        <x:v>c2-run-1</x:v>
      </x:c>
      <x:c r="B9" s="46" t="str">
        <x:v>stage_3</x:v>
      </x:c>
      <x:c r="C9" s="47" t="n">
        <x:v>22</x:v>
      </x:c>
      <x:c r="D9" s="47" t="n">
        <x:v>30</x:v>
      </x:c>
      <x:c r="E9" s="47" t="n">
        <x:v>661</x:v>
      </x:c>
      <x:c r="F9" s="47" t="n">
        <x:v>661</x:v>
      </x:c>
      <x:c r="G9" s="47" t="n">
        <x:v>0</x:v>
      </x:c>
      <x:c r="H9" s="47" t="n">
        <x:v>0</x:v>
      </x:c>
      <x:c r="I9" s="47" t="n">
        <x:v>0</x:v>
      </x:c>
      <x:c r="J9" s="48" t="n">
        <x:v>34.275</x:v>
      </x:c>
      <x:c r="K9" s="48" t="n">
        <x:v>70.979</x:v>
      </x:c>
      <x:c r="L9" s="48" t="n">
        <x:v>97.621</x:v>
      </x:c>
      <x:c r="M9" s="48" t="n">
        <x:v>34.275</x:v>
      </x:c>
      <x:c r="N9" s="48" t="n">
        <x:v>70.979</x:v>
      </x:c>
      <x:c r="O9" s="48" t="n">
        <x:v>97.621</x:v>
      </x:c>
    </x:row>
    <x:row r="10" ht="20" customHeight="1">
      <x:c r="A10" s="46" t="str">
        <x:v>c2-run-1</x:v>
      </x:c>
      <x:c r="B10" s="46" t="str">
        <x:v>stage_4</x:v>
      </x:c>
      <x:c r="C10" s="47" t="n">
        <x:v>0</x:v>
      </x:c>
      <x:c r="D10" s="47" t="n">
        <x:v>10</x:v>
      </x:c>
      <x:c r="E10" s="47" t="n">
        <x:v>109</x:v>
      </x:c>
      <x:c r="F10" s="47" t="n">
        <x:v>109</x:v>
      </x:c>
      <x:c r="G10" s="47" t="n">
        <x:v>0</x:v>
      </x:c>
      <x:c r="H10" s="47" t="n">
        <x:v>0</x:v>
      </x:c>
      <x:c r="I10" s="47" t="n">
        <x:v>0</x:v>
      </x:c>
      <x:c r="J10" s="48" t="n">
        <x:v>32.306</x:v>
      </x:c>
      <x:c r="K10" s="48" t="n">
        <x:v>65.656</x:v>
      </x:c>
      <x:c r="L10" s="48" t="n">
        <x:v>82.254</x:v>
      </x:c>
      <x:c r="M10" s="48" t="n">
        <x:v>32.306</x:v>
      </x:c>
      <x:c r="N10" s="48" t="n">
        <x:v>65.656</x:v>
      </x:c>
      <x:c r="O10" s="48" t="n">
        <x:v>82.254</x:v>
      </x:c>
    </x:row>
    <x:row r="11" ht="20" customHeight="1">
      <x:c r="A11" s="46" t="str">
        <x:v>c2-run-2</x:v>
      </x:c>
      <x:c r="B11" s="46" t="str">
        <x:v>stage_1</x:v>
      </x:c>
      <x:c r="C11" s="47" t="n">
        <x:v>20</x:v>
      </x:c>
      <x:c r="D11" s="47" t="n">
        <x:v>20</x:v>
      </x:c>
      <x:c r="E11" s="47" t="n">
        <x:v>209</x:v>
      </x:c>
      <x:c r="F11" s="47" t="n">
        <x:v>209</x:v>
      </x:c>
      <x:c r="G11" s="47" t="n">
        <x:v>0</x:v>
      </x:c>
      <x:c r="H11" s="47" t="n">
        <x:v>0</x:v>
      </x:c>
      <x:c r="I11" s="47" t="n">
        <x:v>0</x:v>
      </x:c>
      <x:c r="J11" s="52" t="n">
        <x:v>30.71</x:v>
      </x:c>
      <x:c r="K11" s="48" t="n">
        <x:v>56.911</x:v>
      </x:c>
      <x:c r="L11" s="52" t="n">
        <x:v>84.73</x:v>
      </x:c>
      <x:c r="M11" s="52" t="n">
        <x:v>30.71</x:v>
      </x:c>
      <x:c r="N11" s="48" t="n">
        <x:v>56.911</x:v>
      </x:c>
      <x:c r="O11" s="52" t="n">
        <x:v>84.73</x:v>
      </x:c>
    </x:row>
    <x:row r="12" ht="20" customHeight="1">
      <x:c r="A12" s="46" t="str">
        <x:v>c2-run-2</x:v>
      </x:c>
      <x:c r="B12" s="46" t="str">
        <x:v>stage_2</x:v>
      </x:c>
      <x:c r="C12" s="47" t="n">
        <x:v>22</x:v>
      </x:c>
      <x:c r="D12" s="47" t="n">
        <x:v>30</x:v>
      </x:c>
      <x:c r="E12" s="47" t="n">
        <x:v>631</x:v>
      </x:c>
      <x:c r="F12" s="47" t="n">
        <x:v>631</x:v>
      </x:c>
      <x:c r="G12" s="47" t="n">
        <x:v>0</x:v>
      </x:c>
      <x:c r="H12" s="47" t="n">
        <x:v>0</x:v>
      </x:c>
      <x:c r="I12" s="47" t="n">
        <x:v>0</x:v>
      </x:c>
      <x:c r="J12" s="48" t="n">
        <x:v>656.822</x:v>
      </x:c>
      <x:c r="K12" s="48" t="n">
        <x:v>2736.348</x:v>
      </x:c>
      <x:c r="L12" s="48" t="n">
        <x:v>4388.763</x:v>
      </x:c>
      <x:c r="M12" s="48" t="n">
        <x:v>656.822</x:v>
      </x:c>
      <x:c r="N12" s="48" t="n">
        <x:v>2736.348</x:v>
      </x:c>
      <x:c r="O12" s="48" t="n">
        <x:v>4388.763</x:v>
      </x:c>
    </x:row>
    <x:row r="13" ht="20" customHeight="1">
      <x:c r="A13" s="46" t="str">
        <x:v>c2-run-2</x:v>
      </x:c>
      <x:c r="B13" s="46" t="str">
        <x:v>stage_3</x:v>
      </x:c>
      <x:c r="C13" s="47" t="n">
        <x:v>22</x:v>
      </x:c>
      <x:c r="D13" s="47" t="n">
        <x:v>30</x:v>
      </x:c>
      <x:c r="E13" s="47" t="n">
        <x:v>657</x:v>
      </x:c>
      <x:c r="F13" s="47" t="n">
        <x:v>580</x:v>
      </x:c>
      <x:c r="G13" s="47" t="n">
        <x:v>20</x:v>
      </x:c>
      <x:c r="H13" s="47" t="n">
        <x:v>57</x:v>
      </x:c>
      <x:c r="I13" s="47" t="n">
        <x:v>3</x:v>
      </x:c>
      <x:c r="J13" s="48" t="n">
        <x:v>7154.634</x:v>
      </x:c>
      <x:c r="K13" s="52" t="n">
        <x:v>53355.98</x:v>
      </x:c>
      <x:c r="L13" s="52" t="n">
        <x:v>54797.42</x:v>
      </x:c>
      <x:c r="M13" s="48" t="n">
        <x:v>1760.714</x:v>
      </x:c>
      <x:c r="N13" s="48" t="n">
        <x:v>4592.923</x:v>
      </x:c>
      <x:c r="O13" s="52" t="n">
        <x:v>31541.16</x:v>
      </x:c>
    </x:row>
    <x:row r="14" ht="20" customHeight="1">
      <x:c r="A14" s="46" t="str">
        <x:v>c2-run-2</x:v>
      </x:c>
      <x:c r="B14" s="46" t="str">
        <x:v>stage_4</x:v>
      </x:c>
      <x:c r="C14" s="47" t="n">
        <x:v>0</x:v>
      </x:c>
      <x:c r="D14" s="47" t="n">
        <x:v>10</x:v>
      </x:c>
      <x:c r="E14" s="47" t="n">
        <x:v>109</x:v>
      </x:c>
      <x:c r="F14" s="47" t="n">
        <x:v>109</x:v>
      </x:c>
      <x:c r="G14" s="47" t="n">
        <x:v>0</x:v>
      </x:c>
      <x:c r="H14" s="47" t="n">
        <x:v>0</x:v>
      </x:c>
      <x:c r="I14" s="47" t="n">
        <x:v>0</x:v>
      </x:c>
      <x:c r="J14" s="48" t="n">
        <x:v>30.765</x:v>
      </x:c>
      <x:c r="K14" s="48" t="n">
        <x:v>69.657</x:v>
      </x:c>
      <x:c r="L14" s="48" t="n">
        <x:v>82.145</x:v>
      </x:c>
      <x:c r="M14" s="48" t="n">
        <x:v>30.765</x:v>
      </x:c>
      <x:c r="N14" s="48" t="n">
        <x:v>69.657</x:v>
      </x:c>
      <x:c r="O14" s="48" t="n">
        <x:v>82.145</x:v>
      </x:c>
    </x:row>
    <x:row r="15" ht="20" customHeight="1">
      <x:c r="A15" s="46" t="str">
        <x:v>c2-run-3</x:v>
      </x:c>
      <x:c r="B15" s="46" t="str">
        <x:v>stage_1</x:v>
      </x:c>
      <x:c r="C15" s="47" t="n">
        <x:v>20</x:v>
      </x:c>
      <x:c r="D15" s="47" t="n">
        <x:v>20</x:v>
      </x:c>
      <x:c r="E15" s="47" t="n">
        <x:v>209</x:v>
      </x:c>
      <x:c r="F15" s="47" t="n">
        <x:v>209</x:v>
      </x:c>
      <x:c r="G15" s="47" t="n">
        <x:v>0</x:v>
      </x:c>
      <x:c r="H15" s="47" t="n">
        <x:v>0</x:v>
      </x:c>
      <x:c r="I15" s="47" t="n">
        <x:v>0</x:v>
      </x:c>
      <x:c r="J15" s="48" t="n">
        <x:v>31.255</x:v>
      </x:c>
      <x:c r="K15" s="48" t="n">
        <x:v>61.949</x:v>
      </x:c>
      <x:c r="L15" s="48" t="n">
        <x:v>83.113</x:v>
      </x:c>
      <x:c r="M15" s="48" t="n">
        <x:v>31.255</x:v>
      </x:c>
      <x:c r="N15" s="48" t="n">
        <x:v>61.949</x:v>
      </x:c>
      <x:c r="O15" s="48" t="n">
        <x:v>83.113</x:v>
      </x:c>
    </x:row>
    <x:row r="16" ht="20" customHeight="1">
      <x:c r="A16" s="46" t="str">
        <x:v>c2-run-3</x:v>
      </x:c>
      <x:c r="B16" s="46" t="str">
        <x:v>stage_2</x:v>
      </x:c>
      <x:c r="C16" s="47" t="n">
        <x:v>22</x:v>
      </x:c>
      <x:c r="D16" s="47" t="n">
        <x:v>30</x:v>
      </x:c>
      <x:c r="E16" s="47" t="n">
        <x:v>630</x:v>
      </x:c>
      <x:c r="F16" s="47" t="n">
        <x:v>627</x:v>
      </x:c>
      <x:c r="G16" s="47" t="n">
        <x:v>0</x:v>
      </x:c>
      <x:c r="H16" s="47" t="n">
        <x:v>3</x:v>
      </x:c>
      <x:c r="I16" s="47" t="n">
        <x:v>0</x:v>
      </x:c>
      <x:c r="J16" s="48" t="n">
        <x:v>43.399</x:v>
      </x:c>
      <x:c r="K16" s="48" t="n">
        <x:v>105.364</x:v>
      </x:c>
      <x:c r="L16" s="52" t="n">
        <x:v>243.99</x:v>
      </x:c>
      <x:c r="M16" s="52" t="n">
        <x:v>43.53</x:v>
      </x:c>
      <x:c r="N16" s="48" t="n">
        <x:v>105.585</x:v>
      </x:c>
      <x:c r="O16" s="52" t="n">
        <x:v>244.31</x:v>
      </x:c>
    </x:row>
    <x:row r="17" ht="20" customHeight="1">
      <x:c r="A17" s="46" t="str">
        <x:v>c2-run-3</x:v>
      </x:c>
      <x:c r="B17" s="46" t="str">
        <x:v>stage_3</x:v>
      </x:c>
      <x:c r="C17" s="47" t="n">
        <x:v>22</x:v>
      </x:c>
      <x:c r="D17" s="47" t="n">
        <x:v>30</x:v>
      </x:c>
      <x:c r="E17" s="47" t="n">
        <x:v>661</x:v>
      </x:c>
      <x:c r="F17" s="47" t="n">
        <x:v>661</x:v>
      </x:c>
      <x:c r="G17" s="47" t="n">
        <x:v>0</x:v>
      </x:c>
      <x:c r="H17" s="47" t="n">
        <x:v>0</x:v>
      </x:c>
      <x:c r="I17" s="47" t="n">
        <x:v>0</x:v>
      </x:c>
      <x:c r="J17" s="48" t="n">
        <x:v>34.094</x:v>
      </x:c>
      <x:c r="K17" s="48" t="n">
        <x:v>68.776</x:v>
      </x:c>
      <x:c r="L17" s="48" t="n">
        <x:v>101.251</x:v>
      </x:c>
      <x:c r="M17" s="48" t="n">
        <x:v>34.094</x:v>
      </x:c>
      <x:c r="N17" s="48" t="n">
        <x:v>68.776</x:v>
      </x:c>
      <x:c r="O17" s="48" t="n">
        <x:v>101.251</x:v>
      </x:c>
    </x:row>
    <x:row r="18" ht="20" customHeight="1">
      <x:c r="A18" s="46" t="str">
        <x:v>c2-run-3</x:v>
      </x:c>
      <x:c r="B18" s="46" t="str">
        <x:v>stage_4</x:v>
      </x:c>
      <x:c r="C18" s="47" t="n">
        <x:v>0</x:v>
      </x:c>
      <x:c r="D18" s="47" t="n">
        <x:v>10</x:v>
      </x:c>
      <x:c r="E18" s="47" t="n">
        <x:v>109</x:v>
      </x:c>
      <x:c r="F18" s="47" t="n">
        <x:v>109</x:v>
      </x:c>
      <x:c r="G18" s="47" t="n">
        <x:v>0</x:v>
      </x:c>
      <x:c r="H18" s="47" t="n">
        <x:v>0</x:v>
      </x:c>
      <x:c r="I18" s="47" t="n">
        <x:v>0</x:v>
      </x:c>
      <x:c r="J18" s="48" t="n">
        <x:v>28.633</x:v>
      </x:c>
      <x:c r="K18" s="48" t="n">
        <x:v>53.204</x:v>
      </x:c>
      <x:c r="L18" s="48" t="n">
        <x:v>68.522</x:v>
      </x:c>
      <x:c r="M18" s="48" t="n">
        <x:v>28.633</x:v>
      </x:c>
      <x:c r="N18" s="48" t="n">
        <x:v>53.204</x:v>
      </x:c>
      <x:c r="O18" s="48" t="n">
        <x:v>68.522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61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2" hidden="0" customWidth="1"/>
    <x:col min="10" max="10" width="27" hidden="0" customWidth="1"/>
    <x:col min="11" max="11" width="27" hidden="0" customWidth="1"/>
    <x:col min="16" max="16" width="22" hidden="0" customWidth="1"/>
    <x:col min="17" max="17" width="17" hidden="0" customWidth="1"/>
    <x:col min="18" max="18" width="19" hidden="0" customWidth="1"/>
    <x:col min="19" max="19" width="17" hidden="0" customWidth="1"/>
    <x:col min="20" max="20" width="19" hidden="0" customWidth="1"/>
    <x:col min="21" max="21" width="17" hidden="0" customWidth="1"/>
    <x:col min="22" max="22" width="19" hidden="0" customWidth="1"/>
  </x:cols>
  <x:sheetData>
    <x:row r="2" ht="24" customHeight="1">
      <x:c r="A2" s="2" t="str">
        <x:v>Comportamento do HPA nas execuções oficiais</x:v>
      </x:c>
    </x:row>
    <x:row r="3" ht="22" customHeight="1">
      <x:c r="A3" s="4" t="str">
        <x:v>O eixo temporal é relativo ao início da carga. Valores negativos representam a coleta ociosa anterior ao k6.</x:v>
      </x:c>
      <x:c r="P3" s="31" t="str">
        <x:v>Série temporal usada no gráfico</x:v>
      </x:c>
      <x:c r="Q3" s="32" t="str">
        <x:v>Série temporal usada no gráfico</x:v>
      </x:c>
      <x:c r="R3" s="32" t="str">
        <x:v>Série temporal usada no gráfico</x:v>
      </x:c>
      <x:c r="S3" s="32" t="str">
        <x:v>Série temporal usada no gráfico</x:v>
      </x:c>
      <x:c r="T3" s="32" t="str">
        <x:v>Série temporal usada no gráfico</x:v>
      </x:c>
      <x:c r="U3" s="32" t="str">
        <x:v>Série temporal usada no gráfico</x:v>
      </x:c>
      <x:c r="V3" s="33" t="str">
        <x:v>Série temporal usada no gráfico</x:v>
      </x:c>
    </x:row>
    <x:row r="4" ht="48" customHeight="1">
      <x:c r="A4" s="5"/>
      <x:c r="B4" s="5"/>
      <x:c r="C4" s="5"/>
      <x:c r="D4" s="5"/>
      <x:c r="E4" s="5"/>
      <x:c r="F4" s="5"/>
      <x:c r="G4" s="5"/>
      <x:c r="H4" s="5"/>
      <x:c r="P4" s="43" t="str">
        <x:v>Segundos desde início da carga</x:v>
      </x:c>
      <x:c r="Q4" s="43" t="str">
        <x:v>Atual c2-run-1</x:v>
      </x:c>
      <x:c r="R4" s="43" t="str">
        <x:v>Desejada c2-run-1</x:v>
      </x:c>
      <x:c r="S4" s="43" t="str">
        <x:v>Atual c2-run-2</x:v>
      </x:c>
      <x:c r="T4" s="43" t="str">
        <x:v>Desejada c2-run-2</x:v>
      </x:c>
      <x:c r="U4" s="43" t="str">
        <x:v>Atual c2-run-3</x:v>
      </x:c>
      <x:c r="V4" s="43" t="str">
        <x:v>Desejada c2-run-3</x:v>
      </x:c>
    </x:row>
    <x:row r="5" ht="20" customHeight="1">
      <x:c r="A5" s="31" t="str">
        <x:v>Síntese por execução</x:v>
      </x:c>
      <x:c r="B5" s="32" t="str">
        <x:v>Síntese por execução</x:v>
      </x:c>
      <x:c r="C5" s="32" t="str">
        <x:v>Síntese por execução</x:v>
      </x:c>
      <x:c r="D5" s="32" t="str">
        <x:v>Síntese por execução</x:v>
      </x:c>
      <x:c r="E5" s="32" t="str">
        <x:v>Síntese por execução</x:v>
      </x:c>
      <x:c r="F5" s="32" t="str">
        <x:v>Síntese por execução</x:v>
      </x:c>
      <x:c r="G5" s="32" t="str">
        <x:v>Síntese por execução</x:v>
      </x:c>
      <x:c r="H5" s="32" t="str">
        <x:v>Síntese por execução</x:v>
      </x:c>
      <x:c r="I5" s="32" t="str">
        <x:v>Síntese por execução</x:v>
      </x:c>
      <x:c r="J5" s="32" t="str">
        <x:v>Síntese por execução</x:v>
      </x:c>
      <x:c r="K5" s="33" t="str">
        <x:v>Síntese por execução</x:v>
      </x:c>
      <x:c r="P5" s="47" t="n">
        <x:v>-60</x:v>
      </x:c>
      <x:c r="Q5" s="47" t="n">
        <x:v>2</x:v>
      </x:c>
      <x:c r="R5" s="47" t="n">
        <x:v>1</x:v>
      </x:c>
      <x:c r="S5" s="47" t="n">
        <x:v>2</x:v>
      </x:c>
      <x:c r="T5" s="47" t="n">
        <x:v>1</x:v>
      </x:c>
      <x:c r="U5" s="47" t="n">
        <x:v>2</x:v>
      </x:c>
      <x:c r="V5" s="47" t="n">
        <x:v>1</x:v>
      </x:c>
    </x:row>
    <x:row r="6" ht="20" customHeight="1">
      <x:c r="A6" s="43" t="str">
        <x:v>Execução</x:v>
      </x:c>
      <x:c r="B6" s="43" t="str">
        <x:v>Inicial</x:v>
      </x:c>
      <x:c r="C6" s="43" t="str">
        <x:v>Pods mín. observados</x:v>
      </x:c>
      <x:c r="D6" s="43" t="str">
        <x:v>Pods máx. observados</x:v>
      </x:c>
      <x:c r="E6" s="43" t="str">
        <x:v>Desejadas mín.</x:v>
      </x:c>
      <x:c r="F6" s="43" t="str">
        <x:v>Desejadas máx.</x:v>
      </x:c>
      <x:c r="G6" s="43" t="str">
        <x:v>1ª solicitação (s)</x:v>
      </x:c>
      <x:c r="H6" s="43" t="str">
        <x:v>Múltiplos Pods (s)</x:v>
      </x:c>
      <x:c r="I6" s="43" t="str">
        <x:v>CPU alvo</x:v>
      </x:c>
      <x:c r="J6" s="43" t="str">
        <x:v>Instante da 1ª solicitação</x:v>
      </x:c>
      <x:c r="K6" s="43" t="str">
        <x:v>Instante de múltiplos Pods</x:v>
      </x:c>
      <x:c r="P6" s="47" t="n">
        <x:v>-55</x:v>
      </x:c>
      <x:c r="Q6" s="47" t="n">
        <x:v>2</x:v>
      </x:c>
      <x:c r="R6" s="47" t="n">
        <x:v>1</x:v>
      </x:c>
      <x:c r="S6" s="47" t="n">
        <x:v>2</x:v>
      </x:c>
      <x:c r="T6" s="47" t="n">
        <x:v>1</x:v>
      </x:c>
      <x:c r="U6" s="47" t="n">
        <x:v>2</x:v>
      </x:c>
      <x:c r="V6" s="47" t="n">
        <x:v>1</x:v>
      </x:c>
    </x:row>
    <x:row r="7" ht="20" customHeight="1">
      <x:c r="A7" s="46" t="str">
        <x:v>c2-run-1</x:v>
      </x:c>
      <x:c r="B7" s="47" t="n">
        <x:v>1</x:v>
      </x:c>
      <x:c r="C7" s="47" t="n">
        <x:v>1</x:v>
      </x:c>
      <x:c r="D7" s="47" t="n">
        <x:v>5</x:v>
      </x:c>
      <x:c r="E7" s="47" t="n">
        <x:v>1</x:v>
      </x:c>
      <x:c r="F7" s="47" t="n">
        <x:v>5</x:v>
      </x:c>
      <x:c r="G7" s="48" t="n">
        <x:v>39.386</x:v>
      </x:c>
      <x:c r="H7" s="48" t="n">
        <x:v>39.386</x:v>
      </x:c>
      <x:c r="I7" s="64" t="n">
        <x:v>0.7</x:v>
      </x:c>
      <x:c r="J7" s="46" t="str">
        <x:v>UTC 2026-09-17T17:30:36.386Z</x:v>
      </x:c>
      <x:c r="K7" s="46" t="str">
        <x:v>UTC 2026-09-17T17:30:36.386Z</x:v>
      </x:c>
      <x:c r="P7" s="47" t="n">
        <x:v>-50</x:v>
      </x:c>
      <x:c r="Q7" s="47" t="n">
        <x:v>1</x:v>
      </x:c>
      <x:c r="R7" s="47" t="n">
        <x:v>1</x:v>
      </x:c>
      <x:c r="S7" s="47" t="n">
        <x:v>1</x:v>
      </x:c>
      <x:c r="T7" s="47" t="n">
        <x:v>1</x:v>
      </x:c>
      <x:c r="U7" s="47" t="n">
        <x:v>1</x:v>
      </x:c>
      <x:c r="V7" s="47" t="n">
        <x:v>1</x:v>
      </x:c>
    </x:row>
    <x:row r="8" ht="20" customHeight="1">
      <x:c r="A8" s="46" t="str">
        <x:v>c2-run-2</x:v>
      </x:c>
      <x:c r="B8" s="47" t="n">
        <x:v>1</x:v>
      </x:c>
      <x:c r="C8" s="47" t="n">
        <x:v>1</x:v>
      </x:c>
      <x:c r="D8" s="47" t="n">
        <x:v>5</x:v>
      </x:c>
      <x:c r="E8" s="47" t="n">
        <x:v>1</x:v>
      </x:c>
      <x:c r="F8" s="47" t="n">
        <x:v>5</x:v>
      </x:c>
      <x:c r="G8" s="48" t="n">
        <x:v>24.192</x:v>
      </x:c>
      <x:c r="H8" s="48" t="n">
        <x:v>24.192</x:v>
      </x:c>
      <x:c r="I8" s="64" t="n">
        <x:v>0.7</x:v>
      </x:c>
      <x:c r="J8" s="46" t="str">
        <x:v>UTC 2026-09-17T17:42:22.192Z</x:v>
      </x:c>
      <x:c r="K8" s="46" t="str">
        <x:v>UTC 2026-09-17T17:42:22.192Z</x:v>
      </x:c>
      <x:c r="P8" s="47" t="n">
        <x:v>-45</x:v>
      </x:c>
      <x:c r="Q8" s="47" t="n">
        <x:v>1</x:v>
      </x:c>
      <x:c r="R8" s="47" t="n">
        <x:v>1</x:v>
      </x:c>
      <x:c r="S8" s="47" t="n">
        <x:v>1</x:v>
      </x:c>
      <x:c r="T8" s="47" t="n">
        <x:v>1</x:v>
      </x:c>
      <x:c r="U8" s="47" t="n">
        <x:v>1</x:v>
      </x:c>
      <x:c r="V8" s="47" t="n">
        <x:v>1</x:v>
      </x:c>
    </x:row>
    <x:row r="9" ht="20" customHeight="1">
      <x:c r="A9" s="46" t="str">
        <x:v>c2-run-3</x:v>
      </x:c>
      <x:c r="B9" s="47" t="n">
        <x:v>1</x:v>
      </x:c>
      <x:c r="C9" s="47" t="n">
        <x:v>1</x:v>
      </x:c>
      <x:c r="D9" s="47" t="n">
        <x:v>5</x:v>
      </x:c>
      <x:c r="E9" s="47" t="n">
        <x:v>1</x:v>
      </x:c>
      <x:c r="F9" s="47" t="n">
        <x:v>5</x:v>
      </x:c>
      <x:c r="G9" s="48" t="n">
        <x:v>24.258</x:v>
      </x:c>
      <x:c r="H9" s="48" t="n">
        <x:v>24.258</x:v>
      </x:c>
      <x:c r="I9" s="64" t="n">
        <x:v>0.7</x:v>
      </x:c>
      <x:c r="J9" s="46" t="str">
        <x:v>UTC 2026-09-17T17:54:39.258Z</x:v>
      </x:c>
      <x:c r="K9" s="46" t="str">
        <x:v>UTC 2026-09-17T17:54:39.258Z</x:v>
      </x:c>
      <x:c r="P9" s="47" t="n">
        <x:v>-40</x:v>
      </x:c>
      <x:c r="Q9" s="47" t="n">
        <x:v>1</x:v>
      </x:c>
      <x:c r="R9" s="47" t="n">
        <x:v>1</x:v>
      </x:c>
      <x:c r="S9" s="47" t="n">
        <x:v>1</x:v>
      </x:c>
      <x:c r="T9" s="47" t="n">
        <x:v>1</x:v>
      </x:c>
      <x:c r="U9" s="47" t="n">
        <x:v>1</x:v>
      </x:c>
      <x:c r="V9" s="47" t="n">
        <x:v>1</x:v>
      </x:c>
    </x:row>
    <x:row r="10" ht="20" customHeight="1">
      <x:c r="P10" s="47" t="n">
        <x:v>-35</x:v>
      </x:c>
      <x:c r="Q10" s="47" t="n">
        <x:v>1</x:v>
      </x:c>
      <x:c r="R10" s="47" t="n">
        <x:v>1</x:v>
      </x:c>
      <x:c r="S10" s="47" t="n">
        <x:v>1</x:v>
      </x:c>
      <x:c r="T10" s="47" t="n">
        <x:v>1</x:v>
      </x:c>
      <x:c r="U10" s="47" t="n">
        <x:v>1</x:v>
      </x:c>
      <x:c r="V10" s="47" t="n">
        <x:v>1</x:v>
      </x:c>
    </x:row>
    <x:row r="11" ht="20" customHeight="1">
      <x:c r="P11" s="47" t="n">
        <x:v>-30</x:v>
      </x:c>
      <x:c r="Q11" s="47" t="n">
        <x:v>1</x:v>
      </x:c>
      <x:c r="R11" s="47" t="n">
        <x:v>1</x:v>
      </x:c>
      <x:c r="S11" s="47" t="n">
        <x:v>1</x:v>
      </x:c>
      <x:c r="T11" s="47" t="n">
        <x:v>1</x:v>
      </x:c>
      <x:c r="U11" s="47" t="n">
        <x:v>1</x:v>
      </x:c>
      <x:c r="V11" s="47" t="n">
        <x:v>1</x:v>
      </x:c>
    </x:row>
    <x:row r="12" ht="20" customHeight="1">
      <x:c r="A12" s="31" t="str">
        <x:v>Configuração comum</x:v>
      </x:c>
      <x:c r="B12" s="33" t="str">
        <x:v>Configuração comum</x:v>
      </x:c>
      <x:c r="P12" s="47" t="n">
        <x:v>-25</x:v>
      </x:c>
      <x:c r="Q12" s="47" t="n">
        <x:v>1</x:v>
      </x:c>
      <x:c r="R12" s="47" t="n">
        <x:v>1</x:v>
      </x:c>
      <x:c r="S12" s="47" t="n">
        <x:v>1</x:v>
      </x:c>
      <x:c r="T12" s="47" t="n">
        <x:v>1</x:v>
      </x:c>
      <x:c r="U12" s="47" t="n">
        <x:v>1</x:v>
      </x:c>
      <x:c r="V12" s="47" t="n">
        <x:v>1</x:v>
      </x:c>
    </x:row>
    <x:row r="13" ht="20" customHeight="1">
      <x:c r="A13" s="43" t="str">
        <x:v>Parâmetro</x:v>
      </x:c>
      <x:c r="B13" s="43" t="str">
        <x:v>Valor</x:v>
      </x:c>
      <x:c r="P13" s="47" t="n">
        <x:v>-20</x:v>
      </x:c>
      <x:c r="Q13" s="47" t="n">
        <x:v>1</x:v>
      </x:c>
      <x:c r="R13" s="47" t="n">
        <x:v>1</x:v>
      </x:c>
      <x:c r="S13" s="47" t="n">
        <x:v>1</x:v>
      </x:c>
      <x:c r="T13" s="47" t="n">
        <x:v>1</x:v>
      </x:c>
      <x:c r="U13" s="47" t="n">
        <x:v>1</x:v>
      </x:c>
      <x:c r="V13" s="47" t="n">
        <x:v>1</x:v>
      </x:c>
    </x:row>
    <x:row r="14" ht="20" customHeight="1">
      <x:c r="A14" s="46" t="str">
        <x:v>Nome</x:v>
      </x:c>
      <x:c r="B14" s="46" t="str">
        <x:v>api-hpa</x:v>
      </x:c>
      <x:c r="P14" s="47" t="n">
        <x:v>-15</x:v>
      </x:c>
      <x:c r="Q14" s="47" t="n">
        <x:v>1</x:v>
      </x:c>
      <x:c r="R14" s="47" t="n">
        <x:v>1</x:v>
      </x:c>
      <x:c r="S14" s="47" t="n">
        <x:v>1</x:v>
      </x:c>
      <x:c r="T14" s="47" t="n">
        <x:v>1</x:v>
      </x:c>
      <x:c r="U14" s="47" t="n">
        <x:v>1</x:v>
      </x:c>
      <x:c r="V14" s="47" t="n">
        <x:v>1</x:v>
      </x:c>
    </x:row>
    <x:row r="15" ht="20" customHeight="1">
      <x:c r="A15" s="46" t="str">
        <x:v>Alvo</x:v>
      </x:c>
      <x:c r="B15" s="46" t="str">
        <x:v>Deployment/api</x:v>
      </x:c>
      <x:c r="P15" s="47" t="n">
        <x:v>-10</x:v>
      </x:c>
      <x:c r="Q15" s="47" t="n">
        <x:v>1</x:v>
      </x:c>
      <x:c r="R15" s="47" t="n">
        <x:v>1</x:v>
      </x:c>
      <x:c r="S15" s="47" t="n">
        <x:v>1</x:v>
      </x:c>
      <x:c r="T15" s="47" t="n">
        <x:v>1</x:v>
      </x:c>
      <x:c r="U15" s="47" t="n">
        <x:v>1</x:v>
      </x:c>
      <x:c r="V15" s="47" t="n">
        <x:v>1</x:v>
      </x:c>
    </x:row>
    <x:row r="16" ht="20" customHeight="1">
      <x:c r="A16" s="46" t="str">
        <x:v>Réplicas mínimas</x:v>
      </x:c>
      <x:c r="B16" s="47" t="n">
        <x:v>1</x:v>
      </x:c>
      <x:c r="P16" s="47" t="n">
        <x:v>-5</x:v>
      </x:c>
      <x:c r="Q16" s="47" t="n">
        <x:v>1</x:v>
      </x:c>
      <x:c r="R16" s="47" t="n">
        <x:v>1</x:v>
      </x:c>
      <x:c r="S16" s="47" t="n">
        <x:v>1</x:v>
      </x:c>
      <x:c r="T16" s="47" t="n">
        <x:v>1</x:v>
      </x:c>
      <x:c r="U16" s="47" t="n">
        <x:v>1</x:v>
      </x:c>
      <x:c r="V16" s="47" t="n">
        <x:v>1</x:v>
      </x:c>
    </x:row>
    <x:row r="17" ht="20" customHeight="1">
      <x:c r="A17" s="46" t="str">
        <x:v>Réplicas máximas</x:v>
      </x:c>
      <x:c r="B17" s="47" t="n">
        <x:v>5</x:v>
      </x:c>
      <x:c r="P17" s="47" t="n">
        <x:v>0</x:v>
      </x:c>
      <x:c r="Q17" s="47" t="n">
        <x:v>1</x:v>
      </x:c>
      <x:c r="R17" s="47" t="n">
        <x:v>1</x:v>
      </x:c>
      <x:c r="S17" s="47" t="n">
        <x:v>1</x:v>
      </x:c>
      <x:c r="T17" s="47" t="n">
        <x:v>1</x:v>
      </x:c>
      <x:c r="U17" s="47" t="n">
        <x:v>1</x:v>
      </x:c>
      <x:c r="V17" s="47" t="n">
        <x:v>1</x:v>
      </x:c>
    </x:row>
    <x:row r="18" ht="20" customHeight="1">
      <x:c r="A18" s="46" t="str">
        <x:v>Alvo de CPU</x:v>
      </x:c>
      <x:c r="B18" s="64" t="n">
        <x:v>0.7</x:v>
      </x:c>
      <x:c r="P18" s="47" t="n">
        <x:v>5</x:v>
      </x:c>
      <x:c r="Q18" s="47" t="n">
        <x:v>1</x:v>
      </x:c>
      <x:c r="R18" s="47" t="n">
        <x:v>1</x:v>
      </x:c>
      <x:c r="S18" s="47" t="n">
        <x:v>1</x:v>
      </x:c>
      <x:c r="T18" s="47" t="n">
        <x:v>1</x:v>
      </x:c>
      <x:c r="U18" s="47" t="n">
        <x:v>1</x:v>
      </x:c>
      <x:c r="V18" s="47" t="n">
        <x:v>1</x:v>
      </x:c>
    </x:row>
    <x:row r="19" ht="20" customHeight="1">
      <x:c r="A19" s="46" t="str">
        <x:v>Scale-up</x:v>
      </x:c>
      <x:c r="B19" s="46" t="str">
        <x:v>0 s de estabilização; seleção Max; 4 Pods/15 s; 400%/15 s</x:v>
      </x:c>
      <x:c r="P19" s="47" t="n">
        <x:v>10</x:v>
      </x:c>
      <x:c r="Q19" s="47" t="n">
        <x:v>1</x:v>
      </x:c>
      <x:c r="R19" s="47" t="n">
        <x:v>1</x:v>
      </x:c>
      <x:c r="S19" s="47" t="n">
        <x:v>1</x:v>
      </x:c>
      <x:c r="T19" s="47" t="n">
        <x:v>1</x:v>
      </x:c>
      <x:c r="U19" s="47" t="n">
        <x:v>1</x:v>
      </x:c>
      <x:c r="V19" s="47" t="n">
        <x:v>1</x:v>
      </x:c>
    </x:row>
    <x:row r="20" ht="20" customHeight="1">
      <x:c r="A20" s="46" t="str">
        <x:v>Scale-down</x:v>
      </x:c>
      <x:c r="B20" s="46" t="str">
        <x:v>120 s de estabilização; seleção Min; 1 Pod/60 s</x:v>
      </x:c>
      <x:c r="P20" s="47" t="n">
        <x:v>15</x:v>
      </x:c>
      <x:c r="Q20" s="47" t="n">
        <x:v>1</x:v>
      </x:c>
      <x:c r="R20" s="47" t="n">
        <x:v>1</x:v>
      </x:c>
      <x:c r="S20" s="47" t="n">
        <x:v>1</x:v>
      </x:c>
      <x:c r="T20" s="47" t="n">
        <x:v>1</x:v>
      </x:c>
      <x:c r="U20" s="47" t="n">
        <x:v>1</x:v>
      </x:c>
      <x:c r="V20" s="47" t="n">
        <x:v>1</x:v>
      </x:c>
    </x:row>
    <x:row r="21" ht="20" customHeight="1">
      <x:c r="P21" s="47" t="n">
        <x:v>20</x:v>
      </x:c>
      <x:c r="Q21" s="47" t="n">
        <x:v>1</x:v>
      </x:c>
      <x:c r="R21" s="47" t="n">
        <x:v>1</x:v>
      </x:c>
      <x:c r="S21" s="47" t="n">
        <x:v>1</x:v>
      </x:c>
      <x:c r="T21" s="47" t="n">
        <x:v>1</x:v>
      </x:c>
      <x:c r="U21" s="47" t="n">
        <x:v>1</x:v>
      </x:c>
      <x:c r="V21" s="47" t="n">
        <x:v>1</x:v>
      </x:c>
    </x:row>
    <x:row r="22" ht="20" customHeight="1">
      <x:c r="P22" s="47" t="n">
        <x:v>25</x:v>
      </x:c>
      <x:c r="Q22" s="47" t="n">
        <x:v>1</x:v>
      </x:c>
      <x:c r="R22" s="47" t="n">
        <x:v>1</x:v>
      </x:c>
      <x:c r="S22" s="47" t="n">
        <x:v>1</x:v>
      </x:c>
      <x:c r="T22" s="47" t="n">
        <x:v>4</x:v>
      </x:c>
      <x:c r="U22" s="47" t="n">
        <x:v>1</x:v>
      </x:c>
      <x:c r="V22" s="47" t="n">
        <x:v>2</x:v>
      </x:c>
    </x:row>
    <x:row r="23" ht="20" customHeight="1">
      <x:c r="P23" s="47" t="n">
        <x:v>30</x:v>
      </x:c>
      <x:c r="Q23" s="47" t="n">
        <x:v>1</x:v>
      </x:c>
      <x:c r="R23" s="47" t="n">
        <x:v>1</x:v>
      </x:c>
      <x:c r="S23" s="47" t="n">
        <x:v>1</x:v>
      </x:c>
      <x:c r="T23" s="47" t="n">
        <x:v>4</x:v>
      </x:c>
      <x:c r="U23" s="47" t="n">
        <x:v>1</x:v>
      </x:c>
      <x:c r="V23" s="47" t="n">
        <x:v>2</x:v>
      </x:c>
    </x:row>
    <x:row r="24" ht="20" customHeight="1">
      <x:c r="P24" s="47" t="n">
        <x:v>35</x:v>
      </x:c>
      <x:c r="Q24" s="47" t="n">
        <x:v>1</x:v>
      </x:c>
      <x:c r="R24" s="47" t="n">
        <x:v>1</x:v>
      </x:c>
      <x:c r="S24" s="47" t="n">
        <x:v>1</x:v>
      </x:c>
      <x:c r="T24" s="47" t="n">
        <x:v>4</x:v>
      </x:c>
      <x:c r="U24" s="47" t="n">
        <x:v>1</x:v>
      </x:c>
      <x:c r="V24" s="47" t="n">
        <x:v>2</x:v>
      </x:c>
    </x:row>
    <x:row r="25" ht="20" customHeight="1">
      <x:c r="P25" s="47" t="n">
        <x:v>40</x:v>
      </x:c>
      <x:c r="Q25" s="47" t="n">
        <x:v>1</x:v>
      </x:c>
      <x:c r="R25" s="47" t="n">
        <x:v>5</x:v>
      </x:c>
      <x:c r="S25" s="47" t="n">
        <x:v>4</x:v>
      </x:c>
      <x:c r="T25" s="47" t="n">
        <x:v>5</x:v>
      </x:c>
      <x:c r="U25" s="47" t="n">
        <x:v>2</x:v>
      </x:c>
      <x:c r="V25" s="47" t="n">
        <x:v>5</x:v>
      </x:c>
    </x:row>
    <x:row r="26" ht="20" customHeight="1">
      <x:c r="P26" s="47" t="n">
        <x:v>45</x:v>
      </x:c>
      <x:c r="Q26" s="47" t="n">
        <x:v>1</x:v>
      </x:c>
      <x:c r="R26" s="47" t="n">
        <x:v>5</x:v>
      </x:c>
      <x:c r="S26" s="47" t="n">
        <x:v>4</x:v>
      </x:c>
      <x:c r="T26" s="47" t="n">
        <x:v>5</x:v>
      </x:c>
      <x:c r="U26" s="47" t="n">
        <x:v>2</x:v>
      </x:c>
      <x:c r="V26" s="47" t="n">
        <x:v>5</x:v>
      </x:c>
    </x:row>
    <x:row r="27" ht="20" customHeight="1">
      <x:c r="P27" s="47" t="n">
        <x:v>50</x:v>
      </x:c>
      <x:c r="Q27" s="47" t="n">
        <x:v>1</x:v>
      </x:c>
      <x:c r="R27" s="47" t="n">
        <x:v>5</x:v>
      </x:c>
      <x:c r="S27" s="47" t="n">
        <x:v>4</x:v>
      </x:c>
      <x:c r="T27" s="47" t="n">
        <x:v>5</x:v>
      </x:c>
      <x:c r="U27" s="47" t="n">
        <x:v>2</x:v>
      </x:c>
      <x:c r="V27" s="47" t="n">
        <x:v>5</x:v>
      </x:c>
    </x:row>
    <x:row r="28" ht="20" customHeight="1">
      <x:c r="P28" s="47" t="n">
        <x:v>55</x:v>
      </x:c>
      <x:c r="Q28" s="47" t="n">
        <x:v>5</x:v>
      </x:c>
      <x:c r="R28" s="47" t="n">
        <x:v>5</x:v>
      </x:c>
      <x:c r="S28" s="47" t="n">
        <x:v>5</x:v>
      </x:c>
      <x:c r="T28" s="47" t="n">
        <x:v>5</x:v>
      </x:c>
      <x:c r="U28" s="47" t="n">
        <x:v>5</x:v>
      </x:c>
      <x:c r="V28" s="47" t="n">
        <x:v>5</x:v>
      </x:c>
    </x:row>
    <x:row r="29" ht="20" customHeight="1">
      <x:c r="P29" s="47" t="n">
        <x:v>60</x:v>
      </x:c>
      <x:c r="Q29" s="47" t="n">
        <x:v>5</x:v>
      </x:c>
      <x:c r="R29" s="47" t="n">
        <x:v>5</x:v>
      </x:c>
      <x:c r="S29" s="47" t="n">
        <x:v>5</x:v>
      </x:c>
      <x:c r="T29" s="47" t="n">
        <x:v>5</x:v>
      </x:c>
      <x:c r="U29" s="47" t="n">
        <x:v>5</x:v>
      </x:c>
      <x:c r="V29" s="47" t="n">
        <x:v>5</x:v>
      </x:c>
    </x:row>
    <x:row r="30" ht="20" customHeight="1">
      <x:c r="P30" s="47" t="n">
        <x:v>65</x:v>
      </x:c>
      <x:c r="Q30" s="47" t="n">
        <x:v>5</x:v>
      </x:c>
      <x:c r="R30" s="47" t="n">
        <x:v>5</x:v>
      </x:c>
      <x:c r="S30" s="47" t="n">
        <x:v>5</x:v>
      </x:c>
      <x:c r="T30" s="47" t="n">
        <x:v>5</x:v>
      </x:c>
      <x:c r="U30" s="47" t="n">
        <x:v>5</x:v>
      </x:c>
      <x:c r="V30" s="47" t="n">
        <x:v>5</x:v>
      </x:c>
    </x:row>
    <x:row r="31" ht="20" customHeight="1">
      <x:c r="P31" s="47" t="n">
        <x:v>70</x:v>
      </x:c>
      <x:c r="Q31" s="47" t="n">
        <x:v>5</x:v>
      </x:c>
      <x:c r="R31" s="47" t="n">
        <x:v>5</x:v>
      </x:c>
      <x:c r="S31" s="47" t="n">
        <x:v>5</x:v>
      </x:c>
      <x:c r="T31" s="47" t="n">
        <x:v>5</x:v>
      </x:c>
      <x:c r="U31" s="47" t="n">
        <x:v>5</x:v>
      </x:c>
      <x:c r="V31" s="47" t="n">
        <x:v>5</x:v>
      </x:c>
    </x:row>
    <x:row r="32" ht="20" customHeight="1">
      <x:c r="P32" s="47" t="n">
        <x:v>75</x:v>
      </x:c>
      <x:c r="Q32" s="47" t="n">
        <x:v>5</x:v>
      </x:c>
      <x:c r="R32" s="47" t="n">
        <x:v>5</x:v>
      </x:c>
      <x:c r="S32" s="47" t="n">
        <x:v>5</x:v>
      </x:c>
      <x:c r="T32" s="47" t="n">
        <x:v>5</x:v>
      </x:c>
      <x:c r="U32" s="47" t="n">
        <x:v>5</x:v>
      </x:c>
      <x:c r="V32" s="47" t="n">
        <x:v>5</x:v>
      </x:c>
    </x:row>
    <x:row r="33" ht="20" customHeight="1">
      <x:c r="P33" s="47" t="n">
        <x:v>80</x:v>
      </x:c>
      <x:c r="Q33" s="47" t="n">
        <x:v>5</x:v>
      </x:c>
      <x:c r="R33" s="47" t="n">
        <x:v>5</x:v>
      </x:c>
      <x:c r="S33" s="47" t="n">
        <x:v>5</x:v>
      </x:c>
      <x:c r="T33" s="47" t="n">
        <x:v>5</x:v>
      </x:c>
      <x:c r="U33" s="47" t="n">
        <x:v>5</x:v>
      </x:c>
      <x:c r="V33" s="47" t="n">
        <x:v>5</x:v>
      </x:c>
    </x:row>
    <x:row r="34" ht="20" customHeight="1">
      <x:c r="P34" s="47" t="n">
        <x:v>85</x:v>
      </x:c>
      <x:c r="Q34" s="47" t="n">
        <x:v>5</x:v>
      </x:c>
      <x:c r="R34" s="47" t="n">
        <x:v>5</x:v>
      </x:c>
      <x:c r="S34" s="47" t="n">
        <x:v>5</x:v>
      </x:c>
      <x:c r="T34" s="47" t="n">
        <x:v>5</x:v>
      </x:c>
      <x:c r="U34" s="47" t="n">
        <x:v>5</x:v>
      </x:c>
      <x:c r="V34" s="47" t="n">
        <x:v>5</x:v>
      </x:c>
    </x:row>
    <x:row r="35" ht="20" customHeight="1">
      <x:c r="P35" s="47" t="n">
        <x:v>90</x:v>
      </x:c>
      <x:c r="Q35" s="47" t="n">
        <x:v>5</x:v>
      </x:c>
      <x:c r="R35" s="47" t="n">
        <x:v>5</x:v>
      </x:c>
      <x:c r="S35" s="47" t="n">
        <x:v>5</x:v>
      </x:c>
      <x:c r="T35" s="47" t="n">
        <x:v>5</x:v>
      </x:c>
      <x:c r="U35" s="47" t="n">
        <x:v>5</x:v>
      </x:c>
      <x:c r="V35" s="47" t="n">
        <x:v>5</x:v>
      </x:c>
    </x:row>
    <x:row r="36" ht="20" customHeight="1">
      <x:c r="P36" s="47" t="n">
        <x:v>95</x:v>
      </x:c>
      <x:c r="Q36" s="47" t="n">
        <x:v>5</x:v>
      </x:c>
      <x:c r="R36" s="47" t="n">
        <x:v>5</x:v>
      </x:c>
      <x:c r="S36" s="47" t="n">
        <x:v>5</x:v>
      </x:c>
      <x:c r="T36" s="47" t="n">
        <x:v>5</x:v>
      </x:c>
      <x:c r="U36" s="47" t="n">
        <x:v>5</x:v>
      </x:c>
      <x:c r="V36" s="47" t="n">
        <x:v>5</x:v>
      </x:c>
    </x:row>
    <x:row r="37" ht="20" customHeight="1">
      <x:c r="P37" s="47" t="n">
        <x:v>100</x:v>
      </x:c>
      <x:c r="Q37" s="47" t="n">
        <x:v>5</x:v>
      </x:c>
      <x:c r="R37" s="47" t="n">
        <x:v>5</x:v>
      </x:c>
      <x:c r="S37" s="47" t="n">
        <x:v>5</x:v>
      </x:c>
      <x:c r="T37" s="47" t="n">
        <x:v>5</x:v>
      </x:c>
      <x:c r="U37" s="47" t="n">
        <x:v>5</x:v>
      </x:c>
      <x:c r="V37" s="47" t="n">
        <x:v>5</x:v>
      </x:c>
    </x:row>
    <x:row r="38" ht="20" customHeight="1">
      <x:c r="P38" s="47" t="n">
        <x:v>105</x:v>
      </x:c>
      <x:c r="Q38" s="47" t="n">
        <x:v>5</x:v>
      </x:c>
      <x:c r="R38" s="47" t="n">
        <x:v>5</x:v>
      </x:c>
      <x:c r="S38" s="47" t="n">
        <x:v>5</x:v>
      </x:c>
      <x:c r="T38" s="47" t="n">
        <x:v>5</x:v>
      </x:c>
      <x:c r="U38" s="47" t="n">
        <x:v>5</x:v>
      </x:c>
      <x:c r="V38" s="47" t="n">
        <x:v>5</x:v>
      </x:c>
    </x:row>
    <x:row r="39" ht="20" customHeight="1">
      <x:c r="P39" s="47" t="n">
        <x:v>110</x:v>
      </x:c>
      <x:c r="Q39" s="47" t="n">
        <x:v>5</x:v>
      </x:c>
      <x:c r="R39" s="47" t="n">
        <x:v>5</x:v>
      </x:c>
      <x:c r="S39" s="47" t="n">
        <x:v>5</x:v>
      </x:c>
      <x:c r="T39" s="47" t="n">
        <x:v>5</x:v>
      </x:c>
      <x:c r="U39" s="47" t="n">
        <x:v>5</x:v>
      </x:c>
      <x:c r="V39" s="47" t="n">
        <x:v>5</x:v>
      </x:c>
    </x:row>
    <x:row r="40" ht="20" customHeight="1">
      <x:c r="P40" s="47" t="n">
        <x:v>115</x:v>
      </x:c>
      <x:c r="Q40" s="47" t="n">
        <x:v>5</x:v>
      </x:c>
      <x:c r="R40" s="47" t="n">
        <x:v>5</x:v>
      </x:c>
      <x:c r="S40" s="47" t="n">
        <x:v>5</x:v>
      </x:c>
      <x:c r="T40" s="47" t="n">
        <x:v>5</x:v>
      </x:c>
      <x:c r="U40" s="47" t="n">
        <x:v>5</x:v>
      </x:c>
      <x:c r="V40" s="47" t="n">
        <x:v>5</x:v>
      </x:c>
    </x:row>
    <x:row r="41" ht="20" customHeight="1">
      <x:c r="P41" s="47" t="n">
        <x:v>120</x:v>
      </x:c>
      <x:c r="Q41" s="47" t="n">
        <x:v>5</x:v>
      </x:c>
      <x:c r="R41" s="47" t="n">
        <x:v>5</x:v>
      </x:c>
      <x:c r="S41" s="47" t="n">
        <x:v>5</x:v>
      </x:c>
      <x:c r="T41" s="47" t="n">
        <x:v>5</x:v>
      </x:c>
      <x:c r="U41" s="47" t="n">
        <x:v>5</x:v>
      </x:c>
      <x:c r="V41" s="47" t="n">
        <x:v>5</x:v>
      </x:c>
    </x:row>
    <x:row r="42" ht="20" customHeight="1">
      <x:c r="P42" s="47" t="n">
        <x:v>125</x:v>
      </x:c>
      <x:c r="Q42" s="47" t="n">
        <x:v>5</x:v>
      </x:c>
      <x:c r="R42" s="47" t="n">
        <x:v>5</x:v>
      </x:c>
      <x:c r="S42" s="47" t="n">
        <x:v>5</x:v>
      </x:c>
      <x:c r="T42" s="47" t="n">
        <x:v>5</x:v>
      </x:c>
      <x:c r="U42" s="47" t="n">
        <x:v>5</x:v>
      </x:c>
      <x:c r="V42" s="47" t="n">
        <x:v>5</x:v>
      </x:c>
    </x:row>
    <x:row r="43" ht="20" customHeight="1">
      <x:c r="P43" s="47" t="n">
        <x:v>130</x:v>
      </x:c>
      <x:c r="Q43" s="47" t="n">
        <x:v>5</x:v>
      </x:c>
      <x:c r="R43" s="47" t="n">
        <x:v>5</x:v>
      </x:c>
      <x:c r="S43" s="47" t="n">
        <x:v>5</x:v>
      </x:c>
      <x:c r="T43" s="47" t="n">
        <x:v>5</x:v>
      </x:c>
      <x:c r="U43" s="47" t="n">
        <x:v>5</x:v>
      </x:c>
      <x:c r="V43" s="47" t="n">
        <x:v>5</x:v>
      </x:c>
    </x:row>
    <x:row r="44" ht="20" customHeight="1">
      <x:c r="P44" s="47" t="n">
        <x:v>135</x:v>
      </x:c>
      <x:c r="Q44" s="47" t="n">
        <x:v>5</x:v>
      </x:c>
      <x:c r="R44" s="47" t="n">
        <x:v>5</x:v>
      </x:c>
      <x:c r="S44" s="47" t="n">
        <x:v>5</x:v>
      </x:c>
      <x:c r="T44" s="47" t="n">
        <x:v>5</x:v>
      </x:c>
      <x:c r="U44" s="47" t="n">
        <x:v>5</x:v>
      </x:c>
      <x:c r="V44" s="47" t="n">
        <x:v>5</x:v>
      </x:c>
    </x:row>
    <x:row r="45" ht="20" customHeight="1">
      <x:c r="P45" s="47" t="n">
        <x:v>140</x:v>
      </x:c>
      <x:c r="Q45" s="47" t="n">
        <x:v>5</x:v>
      </x:c>
      <x:c r="R45" s="47" t="n">
        <x:v>5</x:v>
      </x:c>
      <x:c r="S45" s="47" t="n">
        <x:v>5</x:v>
      </x:c>
      <x:c r="T45" s="47" t="n">
        <x:v>5</x:v>
      </x:c>
      <x:c r="U45" s="47" t="n">
        <x:v>5</x:v>
      </x:c>
      <x:c r="V45" s="47" t="n">
        <x:v>5</x:v>
      </x:c>
    </x:row>
    <x:row r="46" ht="20" customHeight="1">
      <x:c r="P46" s="47" t="n">
        <x:v>145</x:v>
      </x:c>
      <x:c r="Q46" s="47" t="n">
        <x:v>5</x:v>
      </x:c>
      <x:c r="R46" s="47" t="n">
        <x:v>5</x:v>
      </x:c>
      <x:c r="S46" s="47" t="n">
        <x:v>5</x:v>
      </x:c>
      <x:c r="T46" s="47" t="n">
        <x:v>5</x:v>
      </x:c>
      <x:c r="U46" s="47" t="n">
        <x:v>5</x:v>
      </x:c>
      <x:c r="V46" s="47" t="n">
        <x:v>5</x:v>
      </x:c>
    </x:row>
    <x:row r="47" ht="20" customHeight="1">
      <x:c r="P47" s="47" t="n">
        <x:v>150</x:v>
      </x:c>
      <x:c r="Q47" s="47" t="n">
        <x:v>5</x:v>
      </x:c>
      <x:c r="R47" s="47" t="n">
        <x:v>5</x:v>
      </x:c>
      <x:c r="S47" s="47" t="n">
        <x:v>5</x:v>
      </x:c>
      <x:c r="T47" s="47" t="n">
        <x:v>5</x:v>
      </x:c>
      <x:c r="U47" s="47" t="n">
        <x:v>5</x:v>
      </x:c>
      <x:c r="V47" s="47" t="n">
        <x:v>5</x:v>
      </x:c>
    </x:row>
    <x:row r="48" ht="20" customHeight="1">
      <x:c r="P48" s="47" t="n">
        <x:v>155</x:v>
      </x:c>
      <x:c r="Q48" s="47" t="n">
        <x:v>5</x:v>
      </x:c>
      <x:c r="R48" s="47" t="n">
        <x:v>5</x:v>
      </x:c>
      <x:c r="S48" s="47" t="n">
        <x:v>5</x:v>
      </x:c>
      <x:c r="T48" s="47" t="n">
        <x:v>5</x:v>
      </x:c>
      <x:c r="U48" s="47" t="n">
        <x:v>5</x:v>
      </x:c>
      <x:c r="V48" s="47" t="n">
        <x:v>5</x:v>
      </x:c>
    </x:row>
    <x:row r="49" ht="20" customHeight="1">
      <x:c r="P49" s="47" t="n">
        <x:v>160</x:v>
      </x:c>
      <x:c r="Q49" s="47" t="n">
        <x:v>5</x:v>
      </x:c>
      <x:c r="R49" s="47" t="n">
        <x:v>5</x:v>
      </x:c>
      <x:c r="S49" s="47" t="n">
        <x:v>5</x:v>
      </x:c>
      <x:c r="T49" s="47" t="n">
        <x:v>5</x:v>
      </x:c>
      <x:c r="U49" s="47" t="n">
        <x:v>5</x:v>
      </x:c>
      <x:c r="V49" s="47" t="n">
        <x:v>5</x:v>
      </x:c>
    </x:row>
    <x:row r="50" ht="20" customHeight="1">
      <x:c r="P50" s="47" t="n">
        <x:v>165</x:v>
      </x:c>
      <x:c r="Q50" s="47"/>
      <x:c r="R50" s="47"/>
      <x:c r="S50" s="47" t="n">
        <x:v>5</x:v>
      </x:c>
      <x:c r="T50" s="47" t="n">
        <x:v>5</x:v>
      </x:c>
      <x:c r="U50" s="47"/>
      <x:c r="V50" s="47"/>
    </x:row>
    <x:row r="51" ht="20" customHeight="1">
      <x:c r="P51" s="47" t="n">
        <x:v>170</x:v>
      </x:c>
      <x:c r="Q51" s="47"/>
      <x:c r="R51" s="47"/>
      <x:c r="S51" s="47" t="n">
        <x:v>5</x:v>
      </x:c>
      <x:c r="T51" s="47" t="n">
        <x:v>5</x:v>
      </x:c>
      <x:c r="U51" s="47"/>
      <x:c r="V51" s="47"/>
    </x:row>
    <x:row r="52" ht="20" customHeight="1">
      <x:c r="P52" s="47" t="n">
        <x:v>175</x:v>
      </x:c>
      <x:c r="Q52" s="47"/>
      <x:c r="R52" s="47"/>
      <x:c r="S52" s="47" t="n">
        <x:v>5</x:v>
      </x:c>
      <x:c r="T52" s="47" t="n">
        <x:v>5</x:v>
      </x:c>
      <x:c r="U52" s="47"/>
      <x:c r="V52" s="47"/>
    </x:row>
    <x:row r="53" ht="20" customHeight="1">
      <x:c r="P53" s="47" t="n">
        <x:v>180</x:v>
      </x:c>
      <x:c r="Q53" s="47"/>
      <x:c r="R53" s="47"/>
      <x:c r="S53" s="47" t="n">
        <x:v>5</x:v>
      </x:c>
      <x:c r="T53" s="47" t="n">
        <x:v>5</x:v>
      </x:c>
      <x:c r="U53" s="47"/>
      <x:c r="V53" s="47"/>
    </x:row>
    <x:row r="54" ht="20" customHeight="1">
      <x:c r="P54" s="47" t="n">
        <x:v>185</x:v>
      </x:c>
      <x:c r="Q54" s="47"/>
      <x:c r="R54" s="47"/>
      <x:c r="S54" s="47" t="n">
        <x:v>5</x:v>
      </x:c>
      <x:c r="T54" s="47" t="n">
        <x:v>5</x:v>
      </x:c>
      <x:c r="U54" s="47"/>
      <x:c r="V54" s="47"/>
    </x:row>
  </x:sheetData>
  <x:mergeCells>
    <x:mergeCell ref="A5:K5"/>
    <x:mergeCell ref="A12:B12"/>
    <x:mergeCell ref="P3:V3"/>
  </x:mergeCells>
  <x:pageMargins left="0.7" right="0.7" top="0.75" bottom="0.75" header="0.3" footer="0.3"/>
  <x:drawing xmlns:r="http://schemas.openxmlformats.org/officeDocument/2006/relationships" r:id="rId1"/>
  <x:tableParts count="3">
    <x:tablePart xmlns:r="http://schemas.openxmlformats.org/officeDocument/2006/relationships" r:id="rId2"/>
    <x:tablePart xmlns:r="http://schemas.openxmlformats.org/officeDocument/2006/relationships" r:id="rId3"/>
    <x:tablePart xmlns:r="http://schemas.openxmlformats.org/officeDocument/2006/relationships" r:id="rId4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3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20" hidden="0" customWidth="1"/>
    <x:col min="10" max="10" width="45" hidden="0" customWidth="1"/>
    <x:col min="12" max="12" width="22" hidden="0" customWidth="1"/>
    <x:col min="13" max="13" width="18" hidden="0" customWidth="1"/>
  </x:cols>
  <x:sheetData>
    <x:row r="2" ht="24" customHeight="1">
      <x:c r="A2" s="2" t="str">
        <x:v>Comparação dos cenários C1 e C2</x:v>
      </x:c>
    </x:row>
    <x:row r="3" ht="20" customHeight="1">
      <x:c r="A3" s="4" t="str">
        <x:v>Somente métricas metodologicamente equivalentes. Os três ensaios de cada cenário e o c2-run-2 permanecem na análise.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31" t="str">
        <x:v>Métricas comparáveis</x:v>
      </x:c>
      <x:c r="B5" s="32" t="str">
        <x:v>Métricas comparáveis</x:v>
      </x:c>
      <x:c r="C5" s="32" t="str">
        <x:v>Métricas comparáveis</x:v>
      </x:c>
      <x:c r="D5" s="32" t="str">
        <x:v>Métricas comparáveis</x:v>
      </x:c>
      <x:c r="E5" s="32" t="str">
        <x:v>Métricas comparáveis</x:v>
      </x:c>
      <x:c r="F5" s="32" t="str">
        <x:v>Métricas comparáveis</x:v>
      </x:c>
      <x:c r="G5" s="32" t="str">
        <x:v>Métricas comparáveis</x:v>
      </x:c>
      <x:c r="H5" s="32" t="str">
        <x:v>Métricas comparáveis</x:v>
      </x:c>
      <x:c r="I5" s="32" t="str">
        <x:v>Métricas comparáveis</x:v>
      </x:c>
      <x:c r="J5" s="33" t="str">
        <x:v>Métricas comparáveis</x:v>
      </x:c>
    </x:row>
    <x:row r="6" ht="48" customHeight="1">
      <x:c r="A6" s="43" t="str">
        <x:v>Categoria</x:v>
      </x:c>
      <x:c r="B6" s="43" t="str">
        <x:v>Métrica</x:v>
      </x:c>
      <x:c r="C6" s="43" t="str">
        <x:v>Unidade</x:v>
      </x:c>
      <x:c r="D6" s="43" t="str">
        <x:v>Média C1</x:v>
      </x:c>
      <x:c r="E6" s="43" t="str">
        <x:v>Média C2</x:v>
      </x:c>
      <x:c r="F6" s="43" t="str">
        <x:v>Variação da média</x:v>
      </x:c>
      <x:c r="G6" s="43" t="str">
        <x:v>Mediana C1</x:v>
      </x:c>
      <x:c r="H6" s="43" t="str">
        <x:v>Mediana C2</x:v>
      </x:c>
      <x:c r="I6" s="43" t="str">
        <x:v>Variação da mediana</x:v>
      </x:c>
      <x:c r="J6" s="43" t="str">
        <x:v>Leitura</x:v>
      </x:c>
    </x:row>
    <x:row r="7" ht="20" customHeight="1">
      <x:c r="A7" s="46" t="str">
        <x:v>Capacidade</x:v>
      </x:c>
      <x:c r="B7" s="46" t="str">
        <x:v>Throughput total</x:v>
      </x:c>
      <x:c r="C7" s="46" t="str">
        <x:v>req/s</x:v>
      </x:c>
      <x:c r="D7" s="48" t="n">
        <x:v>10.276896</x:v>
      </x:c>
      <x:c r="E7" s="48" t="n">
        <x:v>16.71304</x:v>
      </x:c>
      <x:c r="F7" s="65" t="n">
        <x:f>IF(D7=0,"n.a.",E7/D7-1)</x:f>
        <x:v>0.6262731470669742</x:v>
      </x:c>
      <x:c r="G7" s="48" t="n">
        <x:v>9.802624</x:v>
      </x:c>
      <x:c r="H7" s="48" t="n">
        <x:v>17.878834</x:v>
      </x:c>
      <x:c r="I7" s="65" t="n">
        <x:f>IF(G7=0,"n.a.",H7/G7-1)</x:f>
        <x:v>0.8238824624916758</x:v>
      </x:c>
      <x:c r="J7" s="46" t="str">
        <x:v>Maior indica mais requisições iniciadas por segundo</x:v>
      </x:c>
    </x:row>
    <x:row r="8" ht="20" customHeight="1">
      <x:c r="A8" s="46" t="str">
        <x:v>Capacidade</x:v>
      </x:c>
      <x:c r="B8" s="46" t="str">
        <x:v>Throughput aceito</x:v>
      </x:c>
      <x:c r="C8" s="46" t="str">
        <x:v>req/s</x:v>
      </x:c>
      <x:c r="D8" s="48" t="n">
        <x:v>6.629735</x:v>
      </x:c>
      <x:c r="E8" s="48" t="n">
        <x:v>16.468385</x:v>
      </x:c>
      <x:c r="F8" s="65" t="n">
        <x:f>IF(D8=0,"n.a.",E8/D8-1)</x:f>
        <x:v>1.4840185919950044</x:v>
      </x:c>
      <x:c r="G8" s="48" t="n">
        <x:v>6.623394</x:v>
      </x:c>
      <x:c r="H8" s="48" t="n">
        <x:v>17.84556</x:v>
      </x:c>
      <x:c r="I8" s="65" t="n">
        <x:f>IF(G8=0,"n.a.",H8/G8-1)</x:f>
        <x:v>1.694322578424294</x:v>
      </x:c>
      <x:c r="J8" s="46" t="str">
        <x:v>Maior indica mais respostas 2xx por segundo</x:v>
      </x:c>
    </x:row>
    <x:row r="9" ht="20" customHeight="1">
      <x:c r="A9" s="46" t="str">
        <x:v>Falhas</x:v>
      </x:c>
      <x:c r="B9" s="46" t="str">
        <x:v>Falhas inesperadas</x:v>
      </x:c>
      <x:c r="C9" s="46" t="str">
        <x:v>ocorrências</x:v>
      </x:c>
      <x:c r="D9" s="66" t="n">
        <x:v>393.333333</x:v>
      </x:c>
      <x:c r="E9" s="66" t="n">
        <x:v>27</x:v>
      </x:c>
      <x:c r="F9" s="65" t="n">
        <x:f>IF(D9=0,"n.a.",E9/D9-1)</x:f>
        <x:v>-0.931355932145217</x:v>
      </x:c>
      <x:c r="G9" s="66" t="n">
        <x:v>364</x:v>
      </x:c>
      <x:c r="H9" s="66" t="n">
        <x:v>3</x:v>
      </x:c>
      <x:c r="I9" s="65" t="n">
        <x:f>IF(G9=0,"n.a.",H9/G9-1)</x:f>
        <x:v>-0.9917582417582418</x:v>
      </x:c>
      <x:c r="J9" s="46" t="str">
        <x:v>Menor é melhor</x:v>
      </x:c>
    </x:row>
    <x:row r="10" ht="20" customHeight="1">
      <x:c r="A10" s="46" t="str">
        <x:v>Falhas</x:v>
      </x:c>
      <x:c r="B10" s="46" t="str">
        <x:v>Falhas inesperadas</x:v>
      </x:c>
      <x:c r="C10" s="46" t="str">
        <x:v>% das requisições</x:v>
      </x:c>
      <x:c r="D10" s="48" t="n">
        <x:v>35.411</x:v>
      </x:c>
      <x:c r="E10" s="48" t="n">
        <x:v>1.681</x:v>
      </x:c>
      <x:c r="F10" s="65" t="n">
        <x:f>IF(D10=0,"n.a.",E10/D10-1)</x:f>
        <x:v>-0.9525288752082686</x:v>
      </x:c>
      <x:c r="G10" s="48" t="n">
        <x:v>36.805</x:v>
      </x:c>
      <x:c r="H10" s="48" t="n">
        <x:v>0.186</x:v>
      </x:c>
      <x:c r="I10" s="65" t="n">
        <x:f>IF(G10=0,"n.a.",H10/G10-1)</x:f>
        <x:v>-0.9949463388126614</x:v>
      </x:c>
      <x:c r="J10" s="46" t="str">
        <x:v>Menor é melhor</x:v>
      </x:c>
    </x:row>
    <x:row r="11" ht="20" customHeight="1">
      <x:c r="A11" s="46" t="str">
        <x:v>Latência geral</x:v>
      </x:c>
      <x:c r="B11" s="46" t="str">
        <x:v>Latência geral p95</x:v>
      </x:c>
      <x:c r="C11" s="46" t="str">
        <x:v>ms</x:v>
      </x:c>
      <x:c r="D11" s="66" t="n">
        <x:v>55485.846</x:v>
      </x:c>
      <x:c r="E11" s="66" t="n">
        <x:v>10395.194333</x:v>
      </x:c>
      <x:c r="F11" s="65" t="n">
        <x:f>IF(D11=0,"n.a.",E11/D11-1)</x:f>
        <x:v>-0.8126514222564075</x:v>
      </x:c>
      <x:c r="G11" s="66" t="n">
        <x:v>54606.76</x:v>
      </x:c>
      <x:c r="H11" s="66" t="n">
        <x:v>78.069</x:v>
      </x:c>
      <x:c r="I11" s="65" t="n">
        <x:f>IF(G11=0,"n.a.",H11/G11-1)</x:f>
        <x:v>-0.9985703418404608</x:v>
      </x:c>
      <x:c r="J11" s="46" t="str">
        <x:v>Menor é melhor</x:v>
      </x:c>
    </x:row>
    <x:row r="12" ht="20" customHeight="1">
      <x:c r="A12" s="46" t="str">
        <x:v>Latência geral</x:v>
      </x:c>
      <x:c r="B12" s="46" t="str">
        <x:v>Latência geral p99</x:v>
      </x:c>
      <x:c r="C12" s="46" t="str">
        <x:v>ms</x:v>
      </x:c>
      <x:c r="D12" s="66" t="n">
        <x:v>57478.793333</x:v>
      </x:c>
      <x:c r="E12" s="66" t="n">
        <x:v>18146.302333</x:v>
      </x:c>
      <x:c r="F12" s="65" t="n">
        <x:f>IF(D12=0,"n.a.",E12/D12-1)</x:f>
        <x:v>-0.6842956979303573</x:v>
      </x:c>
      <x:c r="G12" s="66" t="n">
        <x:v>56453.373</x:v>
      </x:c>
      <x:c r="H12" s="66" t="n">
        <x:v>205.671</x:v>
      </x:c>
      <x:c r="I12" s="65" t="n">
        <x:f>IF(G12=0,"n.a.",H12/G12-1)</x:f>
        <x:v>-0.996356798733709</x:v>
      </x:c>
      <x:c r="J12" s="46" t="str">
        <x:v>Menor é melhor</x:v>
      </x:c>
    </x:row>
    <x:row r="13" ht="20" customHeight="1">
      <x:c r="A13" s="46" t="str">
        <x:v>Latência 2xx</x:v>
      </x:c>
      <x:c r="B13" s="46" t="str">
        <x:v>Latência das respostas 2xx p95</x:v>
      </x:c>
      <x:c r="C13" s="46" t="str">
        <x:v>ms</x:v>
      </x:c>
      <x:c r="D13" s="66" t="n">
        <x:v>4629.608</x:v>
      </x:c>
      <x:c r="E13" s="66" t="n">
        <x:v>1091.444667</x:v>
      </x:c>
      <x:c r="F13" s="65" t="n">
        <x:f>IF(D13=0,"n.a.",E13/D13-1)</x:f>
        <x:v>-0.7642468504892855</x:v>
      </x:c>
      <x:c r="G13" s="66" t="n">
        <x:v>4584.267</x:v>
      </x:c>
      <x:c r="H13" s="66" t="n">
        <x:v>77.999</x:v>
      </x:c>
      <x:c r="I13" s="65" t="n">
        <x:f>IF(G13=0,"n.a.",H13/G13-1)</x:f>
        <x:v>-0.9829855023714805</x:v>
      </x:c>
      <x:c r="J13" s="46" t="str">
        <x:v>Menor é melhor</x:v>
      </x:c>
    </x:row>
    <x:row r="14" ht="20" customHeight="1">
      <x:c r="A14" s="46" t="str">
        <x:v>Latência 2xx</x:v>
      </x:c>
      <x:c r="B14" s="46" t="str">
        <x:v>Latência das respostas 2xx p99</x:v>
      </x:c>
      <x:c r="C14" s="46" t="str">
        <x:v>ms</x:v>
      </x:c>
      <x:c r="D14" s="66" t="n">
        <x:v>29730.398667</x:v>
      </x:c>
      <x:c r="E14" s="66" t="n">
        <x:v>10037.611</x:v>
      </x:c>
      <x:c r="F14" s="65" t="n">
        <x:f>IF(D14=0,"n.a.",E14/D14-1)</x:f>
        <x:v>-0.6623788630476222</x:v>
      </x:c>
      <x:c r="G14" s="66" t="n">
        <x:v>30104.24</x:v>
      </x:c>
      <x:c r="H14" s="66" t="n">
        <x:v>206.074</x:v>
      </x:c>
      <x:c r="I14" s="65" t="n">
        <x:f>IF(G14=0,"n.a.",H14/G14-1)</x:f>
        <x:v>-0.9931546519692908</x:v>
      </x:c>
      <x:c r="J14" s="46" t="str">
        <x:v>Menor é melhor</x:v>
      </x:c>
    </x:row>
    <x:row r="15" ht="20" customHeight="1">
      <x:c r="A15" s="46" t="str">
        <x:v>Processamento</x:v>
      </x:c>
      <x:c r="B15" s="46" t="str">
        <x:v>Pedidos concluídos</x:v>
      </x:c>
      <x:c r="C15" s="46" t="str">
        <x:v>pedidos</x:v>
      </x:c>
      <x:c r="D15" s="66" t="n">
        <x:v>730.666667</x:v>
      </x:c>
      <x:c r="E15" s="66" t="n">
        <x:v>1586</x:v>
      </x:c>
      <x:c r="F15" s="65" t="n">
        <x:f>IF(D15=0,"n.a.",E15/D15-1)</x:f>
        <x:v>1.170620436965958</x:v>
      </x:c>
      <x:c r="G15" s="66" t="n">
        <x:v>740</x:v>
      </x:c>
      <x:c r="H15" s="66" t="n">
        <x:v>1606</x:v>
      </x:c>
      <x:c r="I15" s="65" t="n">
        <x:f>IF(G15=0,"n.a.",H15/G15-1)</x:f>
        <x:v>1.17027027027027</x:v>
      </x:c>
      <x:c r="J15" s="46" t="str">
        <x:v>Maior é melhor</x:v>
      </x:c>
    </x:row>
    <x:row r="16" ht="20" customHeight="1">
      <x:c r="A16" s="46" t="str">
        <x:v>Processamento</x:v>
      </x:c>
      <x:c r="B16" s="46" t="str">
        <x:v>Processamento dos pedidos p95</x:v>
      </x:c>
      <x:c r="C16" s="46" t="str">
        <x:v>ms</x:v>
      </x:c>
      <x:c r="D16" s="66" t="n">
        <x:v>606.003333</x:v>
      </x:c>
      <x:c r="E16" s="66" t="n">
        <x:v>229.919667</x:v>
      </x:c>
      <x:c r="F16" s="65" t="n">
        <x:f>IF(D16=0,"n.a.",E16/D16-1)</x:f>
        <x:v>-0.6205966956290652</x:v>
      </x:c>
      <x:c r="G16" s="66" t="n">
        <x:v>596.95</x:v>
      </x:c>
      <x:c r="H16" s="66" t="n">
        <x:v>83.285</x:v>
      </x:c>
      <x:c r="I16" s="65" t="n">
        <x:f>IF(G16=0,"n.a.",H16/G16-1)</x:f>
        <x:v>-0.8604824524667057</x:v>
      </x:c>
      <x:c r="J16" s="46" t="str">
        <x:v>Menor é melhor</x:v>
      </x:c>
    </x:row>
    <x:row r="17" ht="20" customHeight="1">
      <x:c r="A17" s="46" t="str">
        <x:v>Processamento</x:v>
      </x:c>
      <x:c r="B17" s="46" t="str">
        <x:v>Processamento dos pedidos p99</x:v>
      </x:c>
      <x:c r="C17" s="46" t="str">
        <x:v>ms</x:v>
      </x:c>
      <x:c r="D17" s="66" t="n">
        <x:v>737.621</x:v>
      </x:c>
      <x:c r="E17" s="66" t="n">
        <x:v>295.908333</x:v>
      </x:c>
      <x:c r="F17" s="65" t="n">
        <x:f>IF(D17=0,"n.a.",E17/D17-1)</x:f>
        <x:v>-0.5988341804259911</x:v>
      </x:c>
      <x:c r="G17" s="66" t="n">
        <x:v>709.845</x:v>
      </x:c>
      <x:c r="H17" s="66" t="n">
        <x:v>127.635</x:v>
      </x:c>
      <x:c r="I17" s="65" t="n">
        <x:f>IF(G17=0,"n.a.",H17/G17-1)</x:f>
        <x:v>-0.8201931407560805</x:v>
      </x:c>
      <x:c r="J17" s="46" t="str">
        <x:v>Menor é melhor</x:v>
      </x:c>
    </x:row>
    <x:row r="18" ht="20" customHeight="1">
      <x:c r="A18" s="46" t="str">
        <x:v>Recuperação</x:v>
      </x:c>
      <x:c r="B18" s="46" t="str">
        <x:v>Drenagem</x:v>
      </x:c>
      <x:c r="C18" s="46" t="str">
        <x:v>s</x:v>
      </x:c>
      <x:c r="D18" s="66" t="n">
        <x:v>205.666667</x:v>
      </x:c>
      <x:c r="E18" s="66" t="n">
        <x:v>3.333333</x:v>
      </x:c>
      <x:c r="F18" s="65" t="n">
        <x:f>IF(D18=0,"n.a.",E18/D18-1)</x:f>
        <x:v>-0.9837925462175161</x:v>
      </x:c>
      <x:c r="G18" s="66" t="n">
        <x:v>6</x:v>
      </x:c>
      <x:c r="H18" s="66" t="n">
        <x:v>3</x:v>
      </x:c>
      <x:c r="I18" s="65" t="n">
        <x:f>IF(G18=0,"n.a.",H18/G18-1)</x:f>
        <x:v>-0.5</x:v>
      </x:c>
      <x:c r="J18" s="46" t="str">
        <x:v>Menor é melhor</x:v>
      </x:c>
    </x:row>
    <x:row r="19" ht="20" customHeight="1">
      <x:c r="A19" s="46" t="str">
        <x:v>Estabilidade</x:v>
      </x:c>
      <x:c r="B19" s="46" t="str">
        <x:v>Reinícios</x:v>
      </x:c>
      <x:c r="C19" s="46" t="str">
        <x:v>reinícios</x:v>
      </x:c>
      <x:c r="D19" s="48" t="n">
        <x:v>1</x:v>
      </x:c>
      <x:c r="E19" s="48" t="n">
        <x:v>0.333333</x:v>
      </x:c>
      <x:c r="F19" s="65" t="n">
        <x:f>IF(D19=0,"n.a.",E19/D19-1)</x:f>
        <x:v>-0.666667</x:v>
      </x:c>
      <x:c r="G19" s="48" t="n">
        <x:v>1</x:v>
      </x:c>
      <x:c r="H19" s="48" t="n">
        <x:v>0</x:v>
      </x:c>
      <x:c r="I19" s="65" t="n">
        <x:f>IF(G19=0,"n.a.",H19/G19-1)</x:f>
        <x:v>-1</x:v>
      </x:c>
      <x:c r="J19" s="46" t="str">
        <x:v>Menor é melhor</x:v>
      </x:c>
    </x:row>
    <x:row r="20" ht="20" customHeight="1">
      <x:c r="A20" s="46" t="str">
        <x:v>Custo normalizado</x:v>
      </x:c>
      <x:c r="B20" s="46" t="str">
        <x:v>CPU por mil pedidos</x:v>
      </x:c>
      <x:c r="C20" s="46" t="str">
        <x:v>CPU-s/1.000 pedidos</x:v>
      </x:c>
      <x:c r="D20" s="48" t="n">
        <x:v>33.061428</x:v>
      </x:c>
      <x:c r="E20" s="48" t="n">
        <x:v>40.319957</x:v>
      </x:c>
      <x:c r="F20" s="65" t="n">
        <x:f>IF(D20=0,"n.a.",E20/D20-1)</x:f>
        <x:v>0.219546747950512</x:v>
      </x:c>
      <x:c r="G20" s="48" t="n">
        <x:v>33.088834</x:v>
      </x:c>
      <x:c r="H20" s="48" t="n">
        <x:v>40.132513</x:v>
      </x:c>
      <x:c r="I20" s="65" t="n">
        <x:f>IF(G20=0,"n.a.",H20/G20-1)</x:f>
        <x:v>0.2128717802507034</x:v>
      </x:c>
      <x:c r="J20" s="46" t="str">
        <x:v>Menor consumo é melhor</x:v>
      </x:c>
    </x:row>
    <x:row r="21" ht="20" customHeight="1">
      <x:c r="A21" s="46" t="str">
        <x:v>Custo normalizado</x:v>
      </x:c>
      <x:c r="B21" s="46" t="str">
        <x:v>Memória por mil pedidos</x:v>
      </x:c>
      <x:c r="C21" s="46" t="str">
        <x:v>MiB-min/1.000 pedidos</x:v>
      </x:c>
      <x:c r="D21" s="66" t="n">
        <x:v>381.900702</x:v>
      </x:c>
      <x:c r="E21" s="66" t="n">
        <x:v>304.631329</x:v>
      </x:c>
      <x:c r="F21" s="65" t="n">
        <x:f>IF(D21=0,"n.a.",E21/D21-1)</x:f>
        <x:v>-0.20232843929153088</x:v>
      </x:c>
      <x:c r="G21" s="66" t="n">
        <x:v>380.540407</x:v>
      </x:c>
      <x:c r="H21" s="66" t="n">
        <x:v>259.666674</x:v>
      </x:c>
      <x:c r="I21" s="65" t="n">
        <x:f>IF(G21=0,"n.a.",H21/G21-1)</x:f>
        <x:v>-0.3176370518781728</x:v>
      </x:c>
      <x:c r="J21" s="46" t="str">
        <x:v>Menor consumo é melhor</x:v>
      </x:c>
    </x:row>
    <x:row r="22" ht="20" customHeight="1">
      <x:c r="A22" s="68" t="str">
        <x:v>Estabilidade</x:v>
      </x:c>
      <x:c r="B22" s="68" t="str">
        <x:v>Execuções estáveis</x:v>
      </x:c>
      <x:c r="C22" s="68" t="str">
        <x:v>% das execuções</x:v>
      </x:c>
      <x:c r="D22" s="69" t="n">
        <x:v>0</x:v>
      </x:c>
      <x:c r="E22" s="69" t="n">
        <x:v>0.6666666666666666</x:v>
      </x:c>
      <x:c r="F22" s="70" t="str">
        <x:f>IF(D22=0,"n.a.",E22/D22-1)</x:f>
        <x:v>n.a.</x:v>
      </x:c>
      <x:c r="G22" s="69" t="n">
        <x:v>0</x:v>
      </x:c>
      <x:c r="H22" s="69" t="n">
        <x:v>1</x:v>
      </x:c>
      <x:c r="I22" s="70" t="str">
        <x:f>IF(G22=0,"n.a.",H22/G22-1)</x:f>
        <x:v>n.a.</x:v>
      </x:c>
      <x:c r="J22" s="68" t="str">
        <x:v>Maior é melhor; C1: 0/3, C2: 2/3</x:v>
      </x:c>
    </x:row>
    <x:row r="25" ht="32" customHeight="1">
      <x:c r="A25" s="27" t="str">
        <x:v>Leitura da variação</x:v>
      </x:c>
      <x:c r="B25" s="72" t="str">
        <x:v>A variação é (C2 ÷ C1) − 1. Valores positivos indicam aumento; a coluna ‘Leitura’ informa se aumentar ou reduzir é desejável para cada métrica.</x:v>
      </x:c>
      <x:c r="C25" s="72"/>
      <x:c r="D25" s="72"/>
      <x:c r="E25" s="72"/>
      <x:c r="F25" s="72"/>
      <x:c r="G25" s="72"/>
      <x:c r="H25" s="72"/>
      <x:c r="I25" s="72"/>
      <x:c r="J25" s="72"/>
    </x:row>
    <x:row r="26" ht="32" customHeight="1">
      <x:c r="A26" s="27" t="str">
        <x:v>Percentis</x:v>
      </x:c>
      <x:c r="B26" s="72" t="str">
        <x:v>As médias e medianas de p95/p99 resumem os percentis das três execuções. As amostras brutas não foram combinadas.</x:v>
      </x:c>
      <x:c r="C26" s="72"/>
      <x:c r="D26" s="72"/>
      <x:c r="E26" s="72"/>
      <x:c r="F26" s="72"/>
      <x:c r="G26" s="72"/>
      <x:c r="H26" s="72"/>
      <x:c r="I26" s="72"/>
      <x:c r="J26" s="72"/>
    </x:row>
    <x:row r="27" ht="32" customHeight="1">
      <x:c r="A27" s="27" t="str">
        <x:v>Outliers</x:v>
      </x:c>
      <x:c r="B27" s="72" t="str">
        <x:v>Nenhuma execução foi removida. O c2-run-2 permanece nos valores médios, medianos, extremos e desvios.</x:v>
      </x:c>
      <x:c r="C27" s="72"/>
      <x:c r="D27" s="72"/>
      <x:c r="E27" s="72"/>
      <x:c r="F27" s="72"/>
      <x:c r="G27" s="72"/>
      <x:c r="H27" s="72"/>
      <x:c r="I27" s="72"/>
      <x:c r="J27" s="72"/>
    </x:row>
    <x:row r="34" ht="48" customHeight="1">
      <x:c r="L34" s="43" t="str">
        <x:v>Métrica</x:v>
      </x:c>
      <x:c r="M34" s="43" t="str">
        <x:v>Variação média</x:v>
      </x:c>
    </x:row>
    <x:row r="35" ht="20" customHeight="1">
      <x:c r="L35" s="46" t="str">
        <x:v>Throughput</x:v>
      </x:c>
      <x:c r="M35" s="65" t="n">
        <x:f>F7</x:f>
        <x:v>0.6262731470669742</x:v>
      </x:c>
    </x:row>
    <x:row r="36" ht="20" customHeight="1">
      <x:c r="L36" s="46" t="str">
        <x:v>Throughput 2xx</x:v>
      </x:c>
      <x:c r="M36" s="65" t="n">
        <x:f>F8</x:f>
        <x:v>1.4840185919950044</x:v>
      </x:c>
    </x:row>
    <x:row r="37" ht="20" customHeight="1">
      <x:c r="L37" s="46" t="str">
        <x:v>Falhas</x:v>
      </x:c>
      <x:c r="M37" s="65" t="n">
        <x:f>F9</x:f>
        <x:v>-0.931355932145217</x:v>
      </x:c>
    </x:row>
    <x:row r="38" ht="20" customHeight="1">
      <x:c r="L38" s="46" t="str">
        <x:v>Latência p95</x:v>
      </x:c>
      <x:c r="M38" s="65" t="n">
        <x:f>F11</x:f>
        <x:v>-0.8126514222564075</x:v>
      </x:c>
    </x:row>
    <x:row r="39" ht="20" customHeight="1">
      <x:c r="L39" s="46" t="str">
        <x:v>Latência 2xx p95</x:v>
      </x:c>
      <x:c r="M39" s="65" t="n">
        <x:f>F13</x:f>
        <x:v>-0.7642468504892855</x:v>
      </x:c>
    </x:row>
    <x:row r="40" ht="20" customHeight="1">
      <x:c r="L40" s="46" t="str">
        <x:v>Pedidos</x:v>
      </x:c>
      <x:c r="M40" s="65" t="n">
        <x:f>F15</x:f>
        <x:v>1.170620436965958</x:v>
      </x:c>
    </x:row>
    <x:row r="41" ht="20" customHeight="1">
      <x:c r="L41" s="46" t="str">
        <x:v>Drenagem</x:v>
      </x:c>
      <x:c r="M41" s="65" t="n">
        <x:f>F18</x:f>
        <x:v>-0.9837925462175161</x:v>
      </x:c>
    </x:row>
    <x:row r="42" ht="20" customHeight="1">
      <x:c r="L42" s="46" t="str">
        <x:v>CPU/1.000</x:v>
      </x:c>
      <x:c r="M42" s="65" t="n">
        <x:f>F20</x:f>
        <x:v>0.219546747950512</x:v>
      </x:c>
    </x:row>
    <x:row r="43" ht="20" customHeight="1">
      <x:c r="L43" s="46" t="str">
        <x:v>Memória/1.000</x:v>
      </x:c>
      <x:c r="M43" s="65" t="n">
        <x:f>F21</x:f>
        <x:v>-0.20232843929153088</x:v>
      </x:c>
    </x:row>
  </x:sheetData>
  <x:mergeCells>
    <x:mergeCell ref="A5:J5"/>
    <x:mergeCell ref="B25:J25"/>
    <x:mergeCell ref="B26:J26"/>
    <x:mergeCell ref="B27:J27"/>
  </x:mergeCells>
  <x:pageMargins left="0.7" right="0.7" top="0.75" bottom="0.75" header="0.3" footer="0.3"/>
  <x:drawing xmlns:r="http://schemas.openxmlformats.org/officeDocument/2006/relationships" r:id="rId1"/>
  <x:tableParts count="2">
    <x:tablePart xmlns:r="http://schemas.openxmlformats.org/officeDocument/2006/relationships" r:id="rId2"/>
    <x:tablePart xmlns:r="http://schemas.openxmlformats.org/officeDocument/2006/relationships" r:id="rId3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1" workbookViewId="0"/>
  </x:sheetViews>
  <x:sheetFormatPr defaultRowHeight="15"/>
  <x:cols>
    <x:col min="1" max="1" width="28" hidden="0" customWidth="1"/>
    <x:col min="2" max="2" width="105" hidden="0" customWidth="1"/>
  </x:cols>
  <x:sheetData>
    <x:row r="2" ht="24" customHeight="1">
      <x:c r="A2" s="2" t="str">
        <x:v>Metodologia da consolidação e da comparação</x:v>
      </x:c>
    </x:row>
    <x:row r="3" ht="20" customHeight="1">
      <x:c r="A3" s="4" t="str">
        <x:v>Registro do desenho experimental, das estatísticas e dos limites de interpretação do C2.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38" customHeight="1">
      <x:c r="A5" s="43" t="str">
        <x:v>Tópico</x:v>
      </x:c>
      <x:c r="B5" s="43" t="str">
        <x:v>Registro metodológico</x:v>
      </x:c>
    </x:row>
    <x:row r="6" ht="44" customHeight="1">
      <x:c r="A6" s="84" t="str">
        <x:v>Repetições oficiais</x:v>
      </x:c>
      <x:c r="B6" s="93" t="str">
        <x:v>C1 e C2 possuem três repetições oficiais independentes. Cada execução é a unidade usada nas estatísticas consolidadas.</x:v>
      </x:c>
    </x:row>
    <x:row r="7" ht="44" customHeight="1">
      <x:c r="A7" s="85" t="str">
        <x:v>Carga oficial</x:v>
      </x:c>
      <x:c r="B7" s="94" t="str">
        <x:v>C1 e C2 usaram a mesma carga: ramping-arrival-rate, taxa inicial de 1 req/s e estágios 20 req/s por 20 s, 22 req/s por 30 s, 22 req/s por 30 s e 0 req/s por 10 s.</x:v>
      </x:c>
    </x:row>
    <x:row r="8" ht="44" customHeight="1">
      <x:c r="A8" s="85" t="str">
        <x:v>Variável principal</x:v>
      </x:c>
      <x:c r="B8" s="94" t="str">
        <x:v>C1 manteve uma réplica fixa da API. C2 habilitou o HPA da API com mínimo 1, máximo 5 e alvo de CPU de 70%.</x:v>
      </x:c>
    </x:row>
    <x:row r="9" ht="44" customHeight="1">
      <x:c r="A9" s="85" t="str">
        <x:v>Estatísticas</x:v>
      </x:c>
      <x:c r="B9" s="94" t="str">
        <x:v>Média, mediana, desvio-padrão amostral, mínimo e máximo são calculados sobre os três valores observados por cenário.</x:v>
      </x:c>
    </x:row>
    <x:row r="10" ht="44" customHeight="1">
      <x:c r="A10" s="85" t="str">
        <x:v>Percentis</x:v>
      </x:c>
      <x:c r="B10" s="94" t="str">
        <x:v>Os percentis p95 e p99 são calculados em cada execução. A consolidação resume os três percentis individuais e não combina amostras brutas entre execuções.</x:v>
      </x:c>
    </x:row>
    <x:row r="11" ht="44" customHeight="1">
      <x:c r="A11" s="85" t="str">
        <x:v>Validade</x:v>
      </x:c>
      <x:c r="B11" s="94" t="str">
        <x:v>VALID indica que o protocolo terminou com os artefatos obrigatórios e as verificações de execução aprovadas. Validade não significa ausência de saturação.</x:v>
      </x:c>
    </x:row>
    <x:row r="12" ht="44" customHeight="1">
      <x:c r="A12" s="85" t="str">
        <x:v>Estabilidade</x:v>
      </x:c>
      <x:c r="B12" s="94" t="str">
        <x:v>STABLE/UNSTABLE descreve sinais operacionais como reinicializações e drenagem. Uma execução pode ser VALID e UNSTABLE.</x:v>
      </x:c>
    </x:row>
    <x:row r="13" ht="44" customHeight="1">
      <x:c r="A13" s="85" t="str">
        <x:v>c2-run-2</x:v>
      </x:c>
      <x:c r="B13" s="94" t="str">
        <x:v>O c2-run-2 é VALID / UNSTABLE porque registrou uma reinicialização da API sob carga. Ele permanece em todas as estatísticas e comparações.</x:v>
      </x:c>
    </x:row>
    <x:row r="14" ht="44" customHeight="1">
      <x:c r="A14" s="85" t="str">
        <x:v>Comparação</x:v>
      </x:c>
      <x:c r="B14" s="94" t="str">
        <x:v>A comparação C1 x C2 usa somente métricas presentes nos dois cenários. A variação percentual é calculada por (C2 ÷ C1) − 1 quando o valor de C1 é diferente de zero.</x:v>
      </x:c>
    </x:row>
    <x:row r="15" ht="44" customHeight="1">
      <x:c r="A15" s="85" t="str">
        <x:v>Série temporal HPA</x:v>
      </x:c>
      <x:c r="B15" s="94" t="str">
        <x:v>O gráfico usa a amostragem do HPA em intervalos de 5 s. O tempo é normalizado pelo início da carga; valores negativos mostram a coleta ociosa anterior ao k6.</x:v>
      </x:c>
    </x:row>
    <x:row r="16" ht="44" customHeight="1">
      <x:c r="A16" s="85" t="str">
        <x:v>Fontes consolidadas</x:v>
      </x:c>
      <x:c r="B16" s="94" t="str">
        <x:v>results/consolidated/c1-summary.csv, c1-aggregate-summary.csv, c2-summary.csv, c2-stage-summary.csv, c2-hpa-summary.csv e c2-aggregate-summary.csv.</x:v>
      </x:c>
    </x:row>
    <x:row r="17" ht="44" customHeight="1">
      <x:c r="A17" s="86" t="str">
        <x:v>Fonte temporal</x:v>
      </x:c>
      <x:c r="B17" s="95" t="str">
        <x:v>results/experiments/c2/official/c2-run-{1,2,3}/metrics/hpa-samples.csv, preservados sem alteração.</x:v>
      </x:c>
    </x:row>
  </x:sheetData>
  <x:pageMargins left="0.7" right="0.7" top="0.75" bottom="0.75" header="0.3" footer="0.3"/>
</x:worksheet>
</file>