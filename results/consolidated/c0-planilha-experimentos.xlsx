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3b780925c90457d0/Documentos/TCC/"/>
    </mc:Choice>
  </mc:AlternateContent>
  <xr:revisionPtr revIDLastSave="6" documentId="11_B966D509DF33EBC51568D80CAC00D59742D11136" xr6:coauthVersionLast="47" xr6:coauthVersionMax="47" xr10:uidLastSave="{8840E5EC-6F95-468B-9668-E3ED51E1343B}"/>
  <bookViews>
    <workbookView xWindow="28680" yWindow="-120" windowWidth="29040" windowHeight="15720" activeTab="2" xr2:uid="{00000000-000D-0000-FFFF-FFFF00000000}"/>
  </bookViews>
  <sheets>
    <sheet name="Instruções" sheetId="1" r:id="rId1"/>
    <sheet name="Configuração" sheetId="2" r:id="rId2"/>
    <sheet name="Execuções" sheetId="3" r:id="rId3"/>
    <sheet name="Recursos" sheetId="4" r:id="rId4"/>
    <sheet name="Resumo" sheetId="5" r:id="rId5"/>
    <sheet name="Resumo Recursos" sheetId="6" r:id="rId6"/>
    <sheet name="Validaçã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9" i="6" l="1"/>
  <c r="H19" i="6"/>
  <c r="G19" i="6"/>
  <c r="F19" i="6"/>
  <c r="E19" i="6"/>
  <c r="D19" i="6"/>
  <c r="C19" i="6"/>
  <c r="I18" i="6"/>
  <c r="H18" i="6"/>
  <c r="G18" i="6"/>
  <c r="F18" i="6"/>
  <c r="E18" i="6"/>
  <c r="D18" i="6"/>
  <c r="C18" i="6"/>
  <c r="I17" i="6"/>
  <c r="H17" i="6"/>
  <c r="G17" i="6"/>
  <c r="F17" i="6"/>
  <c r="E17" i="6"/>
  <c r="D17" i="6"/>
  <c r="C17" i="6"/>
  <c r="I16" i="6"/>
  <c r="H16" i="6"/>
  <c r="G16" i="6"/>
  <c r="F16" i="6"/>
  <c r="E16" i="6"/>
  <c r="D16" i="6"/>
  <c r="C16" i="6"/>
  <c r="I15" i="6"/>
  <c r="H15" i="6"/>
  <c r="G15" i="6"/>
  <c r="F15" i="6"/>
  <c r="E15" i="6"/>
  <c r="D15" i="6"/>
  <c r="C15" i="6"/>
  <c r="I14" i="6"/>
  <c r="H14" i="6"/>
  <c r="G14" i="6"/>
  <c r="F14" i="6"/>
  <c r="E14" i="6"/>
  <c r="D14" i="6"/>
  <c r="C14" i="6"/>
  <c r="I13" i="6"/>
  <c r="H13" i="6"/>
  <c r="G13" i="6"/>
  <c r="F13" i="6"/>
  <c r="E13" i="6"/>
  <c r="D13" i="6"/>
  <c r="C13" i="6"/>
  <c r="I12" i="6"/>
  <c r="H12" i="6"/>
  <c r="G12" i="6"/>
  <c r="F12" i="6"/>
  <c r="E12" i="6"/>
  <c r="D12" i="6"/>
  <c r="C12" i="6"/>
  <c r="I11" i="6"/>
  <c r="H11" i="6"/>
  <c r="G11" i="6"/>
  <c r="F11" i="6"/>
  <c r="E11" i="6"/>
  <c r="D11" i="6"/>
  <c r="C11" i="6"/>
  <c r="I10" i="6"/>
  <c r="H10" i="6"/>
  <c r="G10" i="6"/>
  <c r="F10" i="6"/>
  <c r="E10" i="6"/>
  <c r="D10" i="6"/>
  <c r="C10" i="6"/>
  <c r="I9" i="6"/>
  <c r="H9" i="6"/>
  <c r="G9" i="6"/>
  <c r="F9" i="6"/>
  <c r="E9" i="6"/>
  <c r="D9" i="6"/>
  <c r="C9" i="6"/>
  <c r="I8" i="6"/>
  <c r="H8" i="6"/>
  <c r="G8" i="6"/>
  <c r="F8" i="6"/>
  <c r="E8" i="6"/>
  <c r="D8" i="6"/>
  <c r="C8" i="6"/>
  <c r="I7" i="6"/>
  <c r="H7" i="6"/>
  <c r="G7" i="6"/>
  <c r="F7" i="6"/>
  <c r="E7" i="6"/>
  <c r="D7" i="6"/>
  <c r="C7" i="6"/>
  <c r="I6" i="6"/>
  <c r="H6" i="6"/>
  <c r="G6" i="6"/>
  <c r="F6" i="6"/>
  <c r="E6" i="6"/>
  <c r="D6" i="6"/>
  <c r="C6" i="6"/>
  <c r="I5" i="6"/>
  <c r="H5" i="6"/>
  <c r="G5" i="6"/>
  <c r="F5" i="6"/>
  <c r="E5" i="6"/>
  <c r="D5" i="6"/>
  <c r="C5" i="6"/>
  <c r="D13" i="5"/>
  <c r="D11" i="5"/>
  <c r="C11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C13" i="5" s="1"/>
  <c r="G7" i="5"/>
  <c r="F7" i="5"/>
  <c r="B13" i="5" s="1"/>
  <c r="E7" i="5"/>
  <c r="D7" i="5"/>
  <c r="C7" i="5"/>
  <c r="B7" i="5"/>
  <c r="V6" i="5"/>
  <c r="U6" i="5"/>
  <c r="T6" i="5"/>
  <c r="S6" i="5"/>
  <c r="R6" i="5"/>
  <c r="Q6" i="5"/>
  <c r="P6" i="5"/>
  <c r="O6" i="5"/>
  <c r="N6" i="5"/>
  <c r="M6" i="5"/>
  <c r="L6" i="5"/>
  <c r="K6" i="5"/>
  <c r="J6" i="5"/>
  <c r="D12" i="5" s="1"/>
  <c r="I6" i="5"/>
  <c r="H6" i="5"/>
  <c r="C12" i="5" s="1"/>
  <c r="G6" i="5"/>
  <c r="F6" i="5"/>
  <c r="B12" i="5" s="1"/>
  <c r="E6" i="5"/>
  <c r="D6" i="5"/>
  <c r="C6" i="5"/>
  <c r="B6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B11" i="5" s="1"/>
  <c r="E5" i="5"/>
  <c r="D5" i="5"/>
  <c r="C5" i="5"/>
  <c r="B5" i="5"/>
</calcChain>
</file>

<file path=xl/sharedStrings.xml><?xml version="1.0" encoding="utf-8"?>
<sst xmlns="http://schemas.openxmlformats.org/spreadsheetml/2006/main" count="615" uniqueCount="237">
  <si>
    <t>Planilha de coleta dos experimentos — Etapa 1 do TCC</t>
  </si>
  <si>
    <t>Como usar</t>
  </si>
  <si>
    <t>1</t>
  </si>
  <si>
    <t>Execute uma repetição por vez na ordem c0b-1, c0m-1, c0a-1, c0b-2, c0m-2, c0a-2, c0b-3, c0m-3, c0a-3.</t>
  </si>
  <si>
    <t>2</t>
  </si>
  <si>
    <t>Preencha as células amarelas da aba Execuções com os dados do k6, RabbitMQ, banco e drenagem.</t>
  </si>
  <si>
    <t>3</t>
  </si>
  <si>
    <t>Na aba Recursos, registre os valores médios e máximos de CPU e memória dos cinco containers em cada execução.</t>
  </si>
  <si>
    <t>4</t>
  </si>
  <si>
    <t>A aba Resumo calcula automaticamente média e desvio padrão das três repetições de cada perfil.</t>
  </si>
  <si>
    <t>5</t>
  </si>
  <si>
    <t>Não altere as fórmulas azuis. Os gráficos e tabelas oficiais devem usar as médias e desvios da aba Resumo.</t>
  </si>
  <si>
    <t>Legenda dos cenários</t>
  </si>
  <si>
    <t>Código</t>
  </si>
  <si>
    <t>Perfil</t>
  </si>
  <si>
    <t>Carga programada</t>
  </si>
  <si>
    <t>c0b</t>
  </si>
  <si>
    <t>Baixa</t>
  </si>
  <si>
    <t>2 → 5 → 8 req/s</t>
  </si>
  <si>
    <t>c0m</t>
  </si>
  <si>
    <t>Moderada</t>
  </si>
  <si>
    <t>10 → 20 → 30 req/s</t>
  </si>
  <si>
    <t>c0a</t>
  </si>
  <si>
    <t>Alta</t>
  </si>
  <si>
    <t>20 → 40 → 60 req/s</t>
  </si>
  <si>
    <t>Arquivos esperados por execução</t>
  </si>
  <si>
    <t>metadata.json</t>
  </si>
  <si>
    <t>Identificação, versões, horários e configuração do experimento</t>
  </si>
  <si>
    <t>k6-summary.json</t>
  </si>
  <si>
    <t>Resumo estruturado do teste</t>
  </si>
  <si>
    <t>k6.log</t>
  </si>
  <si>
    <t>Saída completa do k6</t>
  </si>
  <si>
    <t>docker-stats.csv</t>
  </si>
  <si>
    <t>CPU, memória, rede, disco e PIDs dos containers</t>
  </si>
  <si>
    <t>rabbitmq.csv</t>
  </si>
  <si>
    <t>Fila, publicações, confirmações e consumidores</t>
  </si>
  <si>
    <t>prometheus.csv</t>
  </si>
  <si>
    <t>Séries temporais coletadas do Prometheus</t>
  </si>
  <si>
    <t>api.log / worker.log</t>
  </si>
  <si>
    <t>Logs gerais, avisos e erros</t>
  </si>
  <si>
    <t>db-summary.json</t>
  </si>
  <si>
    <t>Pedidos, status, estoque e horários</t>
  </si>
  <si>
    <t>drain-summary.json</t>
  </si>
  <si>
    <t>Resultado da drenagem após o k6</t>
  </si>
  <si>
    <t>Cores: amarelo = preencher manualmente; azul = cálculo automático; verde/amarelo/vermelho = baixa/moderada/alta carga.</t>
  </si>
  <si>
    <t>Critérios usados no preenchimento automático</t>
  </si>
  <si>
    <t>Recursos</t>
  </si>
  <si>
    <t>CPU, memória, rede e disco foram agregados somente entre o início e o fim do k6; os 30 s anteriores e a drenagem continuam preservados nos arquivos brutos.</t>
  </si>
  <si>
    <t>RabbitMQ</t>
  </si>
  <si>
    <t>Mensagens publicadas foram preenchidas pelo total de pedidos aceitos, pois existe uma publicação por pedido. O contador publish da API Management apresentou atraso; acknowledgements foram calculados pela diferença do contador ack.</t>
  </si>
  <si>
    <t>Validade</t>
  </si>
  <si>
    <t>Uma execução foi considerada válida quando k6 terminou com código 0, todos os pedidos foram concluídos, não houve pedidos pendentes/falhos, a drenagem terminou e não foram encontrados erros nos logs.</t>
  </si>
  <si>
    <t>Horários</t>
  </si>
  <si>
    <t>Os horários da planilha estão em UTC, conforme metadata.json.</t>
  </si>
  <si>
    <t>Configuração congelada da linha de base</t>
  </si>
  <si>
    <t>Categoria</t>
  </si>
  <si>
    <t>Parâmetro</t>
  </si>
  <si>
    <t>Valor</t>
  </si>
  <si>
    <t>Observação</t>
  </si>
  <si>
    <t>Ambiente</t>
  </si>
  <si>
    <t>Python</t>
  </si>
  <si>
    <t>3.13.13</t>
  </si>
  <si>
    <t>Versão do container</t>
  </si>
  <si>
    <t>FastAPI</t>
  </si>
  <si>
    <t>0.136.3</t>
  </si>
  <si>
    <t>Uvicorn</t>
  </si>
  <si>
    <t>0.48.0</t>
  </si>
  <si>
    <t>1 processo; sem reload; sem access log</t>
  </si>
  <si>
    <t>SQLAlchemy</t>
  </si>
  <si>
    <t>2.0.50</t>
  </si>
  <si>
    <t>Pool padrão; echo=False</t>
  </si>
  <si>
    <t>Pika</t>
  </si>
  <si>
    <t>1.4.1</t>
  </si>
  <si>
    <t>Psycopg</t>
  </si>
  <si>
    <t>3.3.4</t>
  </si>
  <si>
    <t>Infraestrutura</t>
  </si>
  <si>
    <t>PostgreSQL</t>
  </si>
  <si>
    <t>18.3</t>
  </si>
  <si>
    <t>4.3.0</t>
  </si>
  <si>
    <t>Fila clássica, durável; prefetch=1</t>
  </si>
  <si>
    <t>Prometheus</t>
  </si>
  <si>
    <t>3.11.3</t>
  </si>
  <si>
    <t>Scrape interval de 5 s</t>
  </si>
  <si>
    <t>Docker</t>
  </si>
  <si>
    <t>29.1.3</t>
  </si>
  <si>
    <t>Docker Compose</t>
  </si>
  <si>
    <t>5.0.1</t>
  </si>
  <si>
    <t>Carga</t>
  </si>
  <si>
    <t>k6</t>
  </si>
  <si>
    <t>v2.0.0+dirty</t>
  </si>
  <si>
    <t>Imagem fixada por digest</t>
  </si>
  <si>
    <t>Execução</t>
  </si>
  <si>
    <t>Endpoint</t>
  </si>
  <si>
    <t>POST /checkout</t>
  </si>
  <si>
    <t>Resposta esperada: HTTP 201</t>
  </si>
  <si>
    <t>Worker consumidor</t>
  </si>
  <si>
    <t>Sem atraso artificial</t>
  </si>
  <si>
    <t>Estoque inicial por produto</t>
  </si>
  <si>
    <t>10000</t>
  </si>
  <si>
    <t>Produtos 1, 2 e 3</t>
  </si>
  <si>
    <t>Duração programada</t>
  </si>
  <si>
    <t>90 s</t>
  </si>
  <si>
    <t>Pré-coleta</t>
  </si>
  <si>
    <t>30 s</t>
  </si>
  <si>
    <t>Drenagem máxima</t>
  </si>
  <si>
    <t>180 s</t>
  </si>
  <si>
    <t>Cooldown</t>
  </si>
  <si>
    <t>120 s</t>
  </si>
  <si>
    <t>Repetições</t>
  </si>
  <si>
    <t>3 por perfil</t>
  </si>
  <si>
    <t>Total de 9 execuções</t>
  </si>
  <si>
    <t>Registro das 9 execuções oficiais</t>
  </si>
  <si>
    <t>Preencha as células amarelas. Os identificadores e perfis já estão definidos. Use os dados dos arquivos gerados por cada execução.</t>
  </si>
  <si>
    <t>Experimento ID</t>
  </si>
  <si>
    <t>Cenário</t>
  </si>
  <si>
    <t>Repetição</t>
  </si>
  <si>
    <t>Status</t>
  </si>
  <si>
    <t>Data</t>
  </si>
  <si>
    <t>Início k6</t>
  </si>
  <si>
    <t>Fim k6</t>
  </si>
  <si>
    <t>Duração programada (s)</t>
  </si>
  <si>
    <t>Duração observada (s)</t>
  </si>
  <si>
    <t>Req/s médio</t>
  </si>
  <si>
    <t>Requisições totais</t>
  </si>
  <si>
    <t>Falha HTTP (%)</t>
  </si>
  <si>
    <t>Checks aprovados (%)</t>
  </si>
  <si>
    <t>Latência média (ms)</t>
  </si>
  <si>
    <t>Mediana (ms)</t>
  </si>
  <si>
    <t>p90 (ms)</t>
  </si>
  <si>
    <t>p95 (ms)</t>
  </si>
  <si>
    <t>p99 (ms)</t>
  </si>
  <si>
    <t>Máximo (ms)</t>
  </si>
  <si>
    <t>Iterações</t>
  </si>
  <si>
    <t>Iterações descartadas</t>
  </si>
  <si>
    <t>VUs máx.</t>
  </si>
  <si>
    <t>Dados enviados (MB)</t>
  </si>
  <si>
    <t>Dados recebidos (MB)</t>
  </si>
  <si>
    <t>RabbitMQ ready máx.</t>
  </si>
  <si>
    <t>RabbitMQ unacked máx.</t>
  </si>
  <si>
    <t>Mensagens publicadas</t>
  </si>
  <si>
    <t>Mensagens confirmadas</t>
  </si>
  <si>
    <t>Tempo drenagem (s)</t>
  </si>
  <si>
    <t>Drenagem completa?</t>
  </si>
  <si>
    <t>Pedidos totais</t>
  </si>
  <si>
    <t>COMPLETED</t>
  </si>
  <si>
    <t>FAILED</t>
  </si>
  <si>
    <t>PENDING final</t>
  </si>
  <si>
    <t>PROCESSING final</t>
  </si>
  <si>
    <t>Estoque final P1</t>
  </si>
  <si>
    <t>Estoque final P2</t>
  </si>
  <si>
    <t>Estoque final P3</t>
  </si>
  <si>
    <t>Último pedido processado em</t>
  </si>
  <si>
    <t>Commit Git</t>
  </si>
  <si>
    <t>Execução válida?</t>
  </si>
  <si>
    <t>Observações</t>
  </si>
  <si>
    <t>c0b-run-1</t>
  </si>
  <si>
    <t>Concluído</t>
  </si>
  <si>
    <t>Sim</t>
  </si>
  <si>
    <t>0da6ed27d7bfefd7da1854fdf6e9cbf5794f616b</t>
  </si>
  <si>
    <t>Execução válida; todos os pedidos concluídos; sem backlog de mensagens ready. Mensagens publicadas foram registradas pelo total de pedidos aceitos; o contador publish da API de gerenciamento do RabbitMQ apresentou atraso de atualização.</t>
  </si>
  <si>
    <t>c0b-run-2</t>
  </si>
  <si>
    <t>c0b-run-3</t>
  </si>
  <si>
    <t>c0m-run-1</t>
  </si>
  <si>
    <t>c0m-run-2</t>
  </si>
  <si>
    <t>c0m-run-3</t>
  </si>
  <si>
    <t>c0a-run-1</t>
  </si>
  <si>
    <t>c0a-run-2</t>
  </si>
  <si>
    <t>c0a-run-3</t>
  </si>
  <si>
    <t>Uso de recursos por container em cada execução</t>
  </si>
  <si>
    <t>Preencha os valores agregados calculados a partir do docker-stats.csv. Uma linha por container e por execução.</t>
  </si>
  <si>
    <t>Container</t>
  </si>
  <si>
    <t>CPU média (%)</t>
  </si>
  <si>
    <t>CPU máxima (%)</t>
  </si>
  <si>
    <t>Memória média (MB)</t>
  </si>
  <si>
    <t>Memória máxima (MB)</t>
  </si>
  <si>
    <t>Memória média (%)</t>
  </si>
  <si>
    <t>Rede recebida (MB)</t>
  </si>
  <si>
    <t>Rede enviada (MB)</t>
  </si>
  <si>
    <t>Leitura de disco (MB)</t>
  </si>
  <si>
    <t>Escrita em disco (MB)</t>
  </si>
  <si>
    <t>PIDs máximo</t>
  </si>
  <si>
    <t>flash-sale-api</t>
  </si>
  <si>
    <t>Janela do k6; 13 amostras de 5 s.</t>
  </si>
  <si>
    <t>flash-sale-worker</t>
  </si>
  <si>
    <t>flash-sale-postgres</t>
  </si>
  <si>
    <t>flash-sale-rabbitmq</t>
  </si>
  <si>
    <t>flash-sale-prometheus</t>
  </si>
  <si>
    <t>Janela do k6; 14 amostras de 5 s.</t>
  </si>
  <si>
    <t>Resumo estatístico por perfil de carga</t>
  </si>
  <si>
    <t>As células azuis são calculadas automaticamente a partir das três repetições registradas na aba Execuções.</t>
  </si>
  <si>
    <t>Req/s média</t>
  </si>
  <si>
    <t>Req/s DP</t>
  </si>
  <si>
    <t>Falha média (%)</t>
  </si>
  <si>
    <t>Falha DP</t>
  </si>
  <si>
    <t>p90 média (ms)</t>
  </si>
  <si>
    <t>p90 DP</t>
  </si>
  <si>
    <t>p95 média (ms)</t>
  </si>
  <si>
    <t>p95 DP</t>
  </si>
  <si>
    <t>p99 média (ms)</t>
  </si>
  <si>
    <t>p99 DP</t>
  </si>
  <si>
    <t>Descartadas média</t>
  </si>
  <si>
    <t>Descartadas DP</t>
  </si>
  <si>
    <t>Duração média (s)</t>
  </si>
  <si>
    <t>Duração DP</t>
  </si>
  <si>
    <t>Ready máx. média</t>
  </si>
  <si>
    <t>Ready DP</t>
  </si>
  <si>
    <t>Drenagem média (s)</t>
  </si>
  <si>
    <t>Drenagem DP</t>
  </si>
  <si>
    <t>Pedidos COMPLETED média</t>
  </si>
  <si>
    <t>COMPLETED DP</t>
  </si>
  <si>
    <t>n</t>
  </si>
  <si>
    <t>p90 média</t>
  </si>
  <si>
    <t>p95 média</t>
  </si>
  <si>
    <t>p99 média</t>
  </si>
  <si>
    <t>Resumo de recursos por perfil e container</t>
  </si>
  <si>
    <t>Médias e desvios das três repetições. As fórmulas usam as linhas fixas da aba Recursos.</t>
  </si>
  <si>
    <t>CPU média</t>
  </si>
  <si>
    <t>CPU DP</t>
  </si>
  <si>
    <t>CPU máx. média</t>
  </si>
  <si>
    <t>Memória DP</t>
  </si>
  <si>
    <t>Memória máx. média (MB)</t>
  </si>
  <si>
    <t>Memória máx. DP</t>
  </si>
  <si>
    <t>Validação automática das execuções</t>
  </si>
  <si>
    <t>Experimento</t>
  </si>
  <si>
    <t>Válida?</t>
  </si>
  <si>
    <t>Req. k6</t>
  </si>
  <si>
    <t>Pedidos</t>
  </si>
  <si>
    <t>Completed</t>
  </si>
  <si>
    <t>Failed</t>
  </si>
  <si>
    <t>Ready máx.</t>
  </si>
  <si>
    <t>Unacked máx.</t>
  </si>
  <si>
    <t>Drenagem (s)</t>
  </si>
  <si>
    <t>Amostras Docker</t>
  </si>
  <si>
    <t>Amostras RabbitMQ</t>
  </si>
  <si>
    <t>Prometheus (bytes)</t>
  </si>
  <si>
    <t>Logs</t>
  </si>
  <si>
    <t>Sem erros nos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</si>
</sst>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0.000"/>
  </numFmts>
  <fonts count="12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6"/>
      <color rgb="FFFFFFFF"/>
      <name val="Arial"/>
    </font>
    <font>
      <sz val="11"/>
      <name val="Arial"/>
    </font>
    <font>
      <b/>
      <sz val="11"/>
      <color rgb="FFFFFFFF"/>
      <name val="Arial"/>
    </font>
    <font>
      <b/>
      <sz val="11"/>
      <color rgb="FF17365D"/>
      <name val="Arial"/>
    </font>
    <font>
      <sz val="11"/>
      <color rgb="FF404040"/>
      <name val="Arial"/>
    </font>
    <font>
      <b/>
      <sz val="10"/>
      <color rgb="FFFFFFFF"/>
      <name val="Arial"/>
    </font>
    <font>
      <sz val="9"/>
      <color rgb="FF404040"/>
      <name val="Arial"/>
    </font>
    <font>
      <sz val="10"/>
      <color rgb="FF40404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>
      <alignment wrapText="1"/>
    </xf>
    <xf numFmtId="0" fontId="9" fillId="2" borderId="0" xfId="0" applyNumberFormat="1" applyFont="1" applyFill="1" applyBorder="1" applyAlignment="1">
      <alignment horizontal="center" vertical="center" wrapText="1"/>
    </xf>
    <xf numFmtId="0" fontId="5" fillId="4" borderId="0" xfId="0" applyNumberFormat="1" applyFont="1" applyFill="1" applyBorder="1"/>
    <xf numFmtId="0" fontId="5" fillId="5" borderId="0" xfId="0" applyNumberFormat="1" applyFont="1" applyFill="1" applyBorder="1"/>
    <xf numFmtId="0" fontId="5" fillId="6" borderId="0" xfId="0" applyNumberFormat="1" applyFont="1" applyFill="1" applyBorder="1"/>
    <xf numFmtId="0" fontId="7" fillId="0" borderId="0" xfId="0" applyNumberFormat="1" applyFont="1" applyFill="1" applyBorder="1"/>
    <xf numFmtId="0" fontId="5" fillId="0" borderId="0" xfId="0" applyNumberFormat="1" applyFont="1" applyFill="1" applyBorder="1" applyAlignment="1">
      <alignment wrapText="1"/>
    </xf>
    <xf numFmtId="0" fontId="11" fillId="0" borderId="0" xfId="0" applyNumberFormat="1" applyFont="1" applyFill="1" applyBorder="1" applyAlignment="1">
      <alignment wrapText="1"/>
    </xf>
    <xf numFmtId="0" fontId="11" fillId="8" borderId="0" xfId="0" applyNumberFormat="1" applyFont="1" applyFill="1" applyBorder="1" applyAlignment="1">
      <alignment vertical="center" wrapText="1"/>
    </xf>
    <xf numFmtId="0" fontId="11" fillId="4" borderId="0" xfId="0" applyNumberFormat="1" applyFont="1" applyFill="1" applyBorder="1" applyAlignment="1">
      <alignment vertical="center" wrapText="1"/>
    </xf>
    <xf numFmtId="2" fontId="11" fillId="5" borderId="0" xfId="0" applyNumberFormat="1" applyFont="1" applyFill="1" applyBorder="1" applyAlignment="1">
      <alignment vertical="center" wrapText="1"/>
    </xf>
    <xf numFmtId="1" fontId="11" fillId="5" borderId="0" xfId="0" applyNumberFormat="1" applyFont="1" applyFill="1" applyBorder="1" applyAlignment="1">
      <alignment vertical="center" wrapText="1"/>
    </xf>
    <xf numFmtId="0" fontId="11" fillId="5" borderId="0" xfId="0" applyNumberFormat="1" applyFont="1" applyFill="1" applyBorder="1" applyAlignment="1">
      <alignment vertical="center" wrapText="1"/>
    </xf>
    <xf numFmtId="0" fontId="11" fillId="6" borderId="0" xfId="0" applyNumberFormat="1" applyFont="1" applyFill="1" applyBorder="1" applyAlignment="1">
      <alignment vertical="center" wrapText="1"/>
    </xf>
    <xf numFmtId="0" fontId="7" fillId="4" borderId="0" xfId="0" applyNumberFormat="1" applyFont="1" applyFill="1" applyBorder="1" applyAlignment="1">
      <alignment horizontal="center" wrapText="1"/>
    </xf>
    <xf numFmtId="2" fontId="11" fillId="4" borderId="0" xfId="0" applyNumberFormat="1" applyFont="1" applyFill="1" applyBorder="1" applyAlignment="1">
      <alignment vertical="center" wrapText="1"/>
    </xf>
    <xf numFmtId="1" fontId="11" fillId="4" borderId="0" xfId="0" applyNumberFormat="1" applyFont="1" applyFill="1" applyBorder="1" applyAlignment="1">
      <alignment vertical="center" wrapText="1"/>
    </xf>
    <xf numFmtId="0" fontId="7" fillId="5" borderId="0" xfId="0" applyNumberFormat="1" applyFont="1" applyFill="1" applyBorder="1" applyAlignment="1">
      <alignment horizontal="center" wrapText="1"/>
    </xf>
    <xf numFmtId="0" fontId="7" fillId="6" borderId="0" xfId="0" applyNumberFormat="1" applyFont="1" applyFill="1" applyBorder="1" applyAlignment="1">
      <alignment horizontal="center" wrapText="1"/>
    </xf>
    <xf numFmtId="2" fontId="11" fillId="6" borderId="0" xfId="0" applyNumberFormat="1" applyFont="1" applyFill="1" applyBorder="1" applyAlignment="1">
      <alignment vertical="center" wrapText="1"/>
    </xf>
    <xf numFmtId="1" fontId="11" fillId="6" borderId="0" xfId="0" applyNumberFormat="1" applyFont="1" applyFill="1" applyBorder="1" applyAlignment="1">
      <alignment vertical="center" wrapText="1"/>
    </xf>
    <xf numFmtId="0" fontId="11" fillId="8" borderId="0" xfId="0" applyNumberFormat="1" applyFont="1" applyFill="1" applyBorder="1" applyAlignment="1">
      <alignment vertical="center"/>
    </xf>
    <xf numFmtId="2" fontId="11" fillId="8" borderId="0" xfId="0" applyNumberFormat="1" applyFont="1" applyFill="1" applyBorder="1" applyAlignment="1">
      <alignment vertical="center"/>
    </xf>
    <xf numFmtId="2" fontId="11" fillId="8" borderId="0" xfId="0" applyNumberFormat="1" applyFont="1" applyFill="1" applyBorder="1" applyAlignment="1">
      <alignment vertical="center" wrapText="1"/>
    </xf>
    <xf numFmtId="0" fontId="2" fillId="10" borderId="0" xfId="0" applyNumberFormat="1" applyFont="1" applyFill="1" applyBorder="1" applyAlignment="1">
      <alignment horizontal="center" wrapText="1"/>
    </xf>
    <xf numFmtId="0" fontId="11" fillId="8" borderId="1" xfId="0" applyNumberFormat="1" applyFont="1" applyFill="1" applyBorder="1" applyAlignment="1">
      <alignment vertical="center" wrapText="1"/>
    </xf>
    <xf numFmtId="0" fontId="11" fillId="4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1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5" fontId="11" fillId="5" borderId="1" xfId="0" applyNumberFormat="1" applyFont="1" applyFill="1" applyBorder="1" applyAlignment="1">
      <alignment vertical="center" wrapText="1"/>
    </xf>
    <xf numFmtId="1" fontId="11" fillId="5" borderId="1" xfId="0" applyNumberFormat="1" applyFont="1" applyFill="1" applyBorder="1" applyAlignment="1">
      <alignment vertical="center" wrapText="1"/>
    </xf>
    <xf numFmtId="0" fontId="11" fillId="5" borderId="1" xfId="0" applyNumberFormat="1" applyFont="1" applyFill="1" applyBorder="1" applyAlignment="1">
      <alignment vertical="center" wrapText="1"/>
    </xf>
    <xf numFmtId="164" fontId="11" fillId="5" borderId="1" xfId="0" applyNumberFormat="1" applyFont="1" applyFill="1" applyBorder="1" applyAlignment="1">
      <alignment vertical="center" wrapText="1"/>
    </xf>
    <xf numFmtId="0" fontId="11" fillId="6" borderId="1" xfId="0" applyNumberFormat="1" applyFont="1" applyFill="1" applyBorder="1" applyAlignment="1">
      <alignment vertical="center" wrapText="1"/>
    </xf>
    <xf numFmtId="0" fontId="2" fillId="9" borderId="0" xfId="0" applyNumberFormat="1" applyFont="1" applyFill="1" applyBorder="1" applyAlignment="1">
      <alignment horizontal="left"/>
    </xf>
    <xf numFmtId="0" fontId="4" fillId="2" borderId="0" xfId="0" applyNumberFormat="1" applyFont="1" applyFill="1" applyBorder="1" applyAlignment="1">
      <alignment horizontal="center" vertical="center"/>
    </xf>
    <xf numFmtId="0" fontId="6" fillId="3" borderId="0" xfId="0" applyNumberFormat="1" applyFont="1" applyFill="1" applyBorder="1" applyAlignment="1">
      <alignment horizontal="left" vertical="center"/>
    </xf>
    <xf numFmtId="0" fontId="10" fillId="7" borderId="0" xfId="0" applyNumberFormat="1" applyFont="1" applyFill="1" applyBorder="1" applyAlignment="1">
      <alignment wrapText="1"/>
    </xf>
    <xf numFmtId="0" fontId="1" fillId="1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4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Latência média por perfil (n = 3)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p90 média</c:v>
          </c:tx>
          <c:cat>
            <c:strRef>
              <c:f>Resumo!$A$11:$A$13</c:f>
              <c:strCache>
                <c:ptCount val="3"/>
                <c:pt idx="0">
                  <c:v>Baixa</c:v>
                </c:pt>
                <c:pt idx="1">
                  <c:v>Moderada</c:v>
                </c:pt>
                <c:pt idx="2">
                  <c:v>Alta</c:v>
                </c:pt>
              </c:strCache>
            </c:strRef>
          </c:cat>
          <c:val>
            <c:numRef>
              <c:f>Resumo!$B$11:$B$13</c:f>
              <c:numCache>
                <c:formatCode>0.00</c:formatCode>
                <c:ptCount val="3"/>
                <c:pt idx="0">
                  <c:v>27.665127633333338</c:v>
                </c:pt>
                <c:pt idx="1">
                  <c:v>25.323873200000005</c:v>
                </c:pt>
                <c:pt idx="2">
                  <c:v>29.855751333333341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22-465B-8469-97E444F98491}"/>
            </c:ext>
          </c:extLst>
        </c:ser>
        <c:ser>
          <c:idx val="1"/>
          <c:order val="1"/>
          <c:tx>
            <c:v>p95 média</c:v>
          </c:tx>
          <c:cat>
            <c:strRef>
              <c:f>Resumo!$A$11:$A$13</c:f>
              <c:strCache>
                <c:ptCount val="3"/>
                <c:pt idx="0">
                  <c:v>Baixa</c:v>
                </c:pt>
                <c:pt idx="1">
                  <c:v>Moderada</c:v>
                </c:pt>
                <c:pt idx="2">
                  <c:v>Alta</c:v>
                </c:pt>
              </c:strCache>
            </c:strRef>
          </c:cat>
          <c:val>
            <c:numRef>
              <c:f>Resumo!$C$11:$C$13</c:f>
              <c:numCache>
                <c:formatCode>0.00</c:formatCode>
                <c:ptCount val="3"/>
                <c:pt idx="0">
                  <c:v>28.879137799999999</c:v>
                </c:pt>
                <c:pt idx="1">
                  <c:v>27.233060466666668</c:v>
                </c:pt>
                <c:pt idx="2">
                  <c:v>33.677591999999997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22-465B-8469-97E444F98491}"/>
            </c:ext>
          </c:extLst>
        </c:ser>
        <c:ser>
          <c:idx val="2"/>
          <c:order val="2"/>
          <c:tx>
            <c:v>p99 média</c:v>
          </c:tx>
          <c:cat>
            <c:strRef>
              <c:f>Resumo!$A$11:$A$13</c:f>
              <c:strCache>
                <c:ptCount val="3"/>
                <c:pt idx="0">
                  <c:v>Baixa</c:v>
                </c:pt>
                <c:pt idx="1">
                  <c:v>Moderada</c:v>
                </c:pt>
                <c:pt idx="2">
                  <c:v>Alta</c:v>
                </c:pt>
              </c:strCache>
            </c:strRef>
          </c:cat>
          <c:val>
            <c:numRef>
              <c:f>Resumo!$D$11:$D$13</c:f>
              <c:numCache>
                <c:formatCode>0.00</c:formatCode>
                <c:ptCount val="3"/>
                <c:pt idx="0">
                  <c:v>31.682186640000001</c:v>
                </c:pt>
                <c:pt idx="1">
                  <c:v>33.648969440000023</c:v>
                </c:pt>
                <c:pt idx="2">
                  <c:v>100.72645728000015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22-465B-8469-97E444F98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Configuracao" displayName="TabelaConfiguracao" ref="A3:D23">
  <tableColumns count="4">
    <tableColumn id="1" xr3:uid="{00000000-0010-0000-0000-000001000000}" name="Categoria"/>
    <tableColumn id="2" xr3:uid="{00000000-0010-0000-0000-000002000000}" name="Parâmetro"/>
    <tableColumn id="3" xr3:uid="{00000000-0010-0000-0000-000003000000}" name="Valor"/>
    <tableColumn id="4" xr3:uid="{00000000-0010-0000-0000-000004000000}" name="Observ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Execucoes" displayName="TabelaExecucoes" ref="A4:AQ13">
  <tableColumns count="43">
    <tableColumn id="1" xr3:uid="{00000000-0010-0000-0100-000001000000}" name="Experimento ID" dataDxfId="42"/>
    <tableColumn id="2" xr3:uid="{00000000-0010-0000-0100-000002000000}" name="Cenário" dataDxfId="41"/>
    <tableColumn id="3" xr3:uid="{00000000-0010-0000-0100-000003000000}" name="Perfil" dataDxfId="40"/>
    <tableColumn id="4" xr3:uid="{00000000-0010-0000-0100-000004000000}" name="Repetição" dataDxfId="39"/>
    <tableColumn id="5" xr3:uid="{00000000-0010-0000-0100-000005000000}" name="Status" dataDxfId="38"/>
    <tableColumn id="6" xr3:uid="{00000000-0010-0000-0100-000006000000}" name="Data" dataDxfId="37"/>
    <tableColumn id="7" xr3:uid="{00000000-0010-0000-0100-000007000000}" name="Início k6" dataDxfId="36"/>
    <tableColumn id="8" xr3:uid="{00000000-0010-0000-0100-000008000000}" name="Fim k6" dataDxfId="35"/>
    <tableColumn id="9" xr3:uid="{00000000-0010-0000-0100-000009000000}" name="Duração programada (s)" dataDxfId="34"/>
    <tableColumn id="10" xr3:uid="{00000000-0010-0000-0100-00000A000000}" name="Duração observada (s)" dataDxfId="33"/>
    <tableColumn id="11" xr3:uid="{00000000-0010-0000-0100-00000B000000}" name="Req/s médio" dataDxfId="32"/>
    <tableColumn id="12" xr3:uid="{00000000-0010-0000-0100-00000C000000}" name="Requisições totais" dataDxfId="31"/>
    <tableColumn id="13" xr3:uid="{00000000-0010-0000-0100-00000D000000}" name="Falha HTTP (%)" dataDxfId="30"/>
    <tableColumn id="14" xr3:uid="{00000000-0010-0000-0100-00000E000000}" name="Checks aprovados (%)" dataDxfId="29"/>
    <tableColumn id="15" xr3:uid="{00000000-0010-0000-0100-00000F000000}" name="Latência média (ms)" dataDxfId="28"/>
    <tableColumn id="16" xr3:uid="{00000000-0010-0000-0100-000010000000}" name="Mediana (ms)" dataDxfId="27"/>
    <tableColumn id="17" xr3:uid="{00000000-0010-0000-0100-000011000000}" name="p90 (ms)" dataDxfId="26"/>
    <tableColumn id="18" xr3:uid="{00000000-0010-0000-0100-000012000000}" name="p95 (ms)" dataDxfId="25"/>
    <tableColumn id="19" xr3:uid="{00000000-0010-0000-0100-000013000000}" name="p99 (ms)" dataDxfId="24"/>
    <tableColumn id="20" xr3:uid="{00000000-0010-0000-0100-000014000000}" name="Máximo (ms)" dataDxfId="23"/>
    <tableColumn id="21" xr3:uid="{00000000-0010-0000-0100-000015000000}" name="Iterações" dataDxfId="22"/>
    <tableColumn id="22" xr3:uid="{00000000-0010-0000-0100-000016000000}" name="Iterações descartadas" dataDxfId="21"/>
    <tableColumn id="23" xr3:uid="{00000000-0010-0000-0100-000017000000}" name="VUs máx." dataDxfId="20"/>
    <tableColumn id="24" xr3:uid="{00000000-0010-0000-0100-000018000000}" name="Dados enviados (MB)" dataDxfId="19"/>
    <tableColumn id="25" xr3:uid="{00000000-0010-0000-0100-000019000000}" name="Dados recebidos (MB)" dataDxfId="18"/>
    <tableColumn id="26" xr3:uid="{00000000-0010-0000-0100-00001A000000}" name="RabbitMQ ready máx." dataDxfId="17"/>
    <tableColumn id="27" xr3:uid="{00000000-0010-0000-0100-00001B000000}" name="RabbitMQ unacked máx." dataDxfId="16"/>
    <tableColumn id="28" xr3:uid="{00000000-0010-0000-0100-00001C000000}" name="Mensagens publicadas" dataDxfId="15"/>
    <tableColumn id="29" xr3:uid="{00000000-0010-0000-0100-00001D000000}" name="Mensagens confirmadas" dataDxfId="14"/>
    <tableColumn id="30" xr3:uid="{00000000-0010-0000-0100-00001E000000}" name="Tempo drenagem (s)" dataDxfId="13"/>
    <tableColumn id="31" xr3:uid="{00000000-0010-0000-0100-00001F000000}" name="Drenagem completa?" dataDxfId="12"/>
    <tableColumn id="32" xr3:uid="{00000000-0010-0000-0100-000020000000}" name="Pedidos totais" dataDxfId="11"/>
    <tableColumn id="33" xr3:uid="{00000000-0010-0000-0100-000021000000}" name="COMPLETED" dataDxfId="10"/>
    <tableColumn id="34" xr3:uid="{00000000-0010-0000-0100-000022000000}" name="FAILED" dataDxfId="9"/>
    <tableColumn id="35" xr3:uid="{00000000-0010-0000-0100-000023000000}" name="PENDING final" dataDxfId="8"/>
    <tableColumn id="36" xr3:uid="{00000000-0010-0000-0100-000024000000}" name="PROCESSING final" dataDxfId="7"/>
    <tableColumn id="37" xr3:uid="{00000000-0010-0000-0100-000025000000}" name="Estoque final P1" dataDxfId="6"/>
    <tableColumn id="38" xr3:uid="{00000000-0010-0000-0100-000026000000}" name="Estoque final P2" dataDxfId="5"/>
    <tableColumn id="39" xr3:uid="{00000000-0010-0000-0100-000027000000}" name="Estoque final P3" dataDxfId="4"/>
    <tableColumn id="40" xr3:uid="{00000000-0010-0000-0100-000028000000}" name="Último pedido processado em" dataDxfId="3"/>
    <tableColumn id="41" xr3:uid="{00000000-0010-0000-0100-000029000000}" name="Commit Git" dataDxfId="2"/>
    <tableColumn id="42" xr3:uid="{00000000-0010-0000-0100-00002A000000}" name="Execução válida?" dataDxfId="1"/>
    <tableColumn id="43" xr3:uid="{00000000-0010-0000-0100-00002B000000}" name="Observaçõe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Recursos" displayName="TabelaRecursos" ref="A4:P49">
  <tableColumns count="16">
    <tableColumn id="1" xr3:uid="{00000000-0010-0000-0200-000001000000}" name="Experimento ID"/>
    <tableColumn id="2" xr3:uid="{00000000-0010-0000-0200-000002000000}" name="Cenário"/>
    <tableColumn id="3" xr3:uid="{00000000-0010-0000-0200-000003000000}" name="Perfil"/>
    <tableColumn id="4" xr3:uid="{00000000-0010-0000-0200-000004000000}" name="Repetição"/>
    <tableColumn id="5" xr3:uid="{00000000-0010-0000-0200-000005000000}" name="Container"/>
    <tableColumn id="6" xr3:uid="{00000000-0010-0000-0200-000006000000}" name="CPU média (%)"/>
    <tableColumn id="7" xr3:uid="{00000000-0010-0000-0200-000007000000}" name="CPU máxima (%)"/>
    <tableColumn id="8" xr3:uid="{00000000-0010-0000-0200-000008000000}" name="Memória média (MB)"/>
    <tableColumn id="9" xr3:uid="{00000000-0010-0000-0200-000009000000}" name="Memória máxima (MB)"/>
    <tableColumn id="10" xr3:uid="{00000000-0010-0000-0200-00000A000000}" name="Memória média (%)"/>
    <tableColumn id="11" xr3:uid="{00000000-0010-0000-0200-00000B000000}" name="Rede recebida (MB)"/>
    <tableColumn id="12" xr3:uid="{00000000-0010-0000-0200-00000C000000}" name="Rede enviada (MB)"/>
    <tableColumn id="13" xr3:uid="{00000000-0010-0000-0200-00000D000000}" name="Leitura de disco (MB)"/>
    <tableColumn id="14" xr3:uid="{00000000-0010-0000-0200-00000E000000}" name="Escrita em disco (MB)"/>
    <tableColumn id="15" xr3:uid="{00000000-0010-0000-0200-00000F000000}" name="PIDs máximo"/>
    <tableColumn id="16" xr3:uid="{00000000-0010-0000-0200-000010000000}" name="Observaçõ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ResumoRecursos" displayName="TabelaResumoRecursos" ref="A4:I19">
  <tableColumns count="9">
    <tableColumn id="1" xr3:uid="{00000000-0010-0000-0300-000001000000}" name="Perfil"/>
    <tableColumn id="2" xr3:uid="{00000000-0010-0000-0300-000002000000}" name="Container"/>
    <tableColumn id="3" xr3:uid="{00000000-0010-0000-0300-000003000000}" name="CPU média"/>
    <tableColumn id="4" xr3:uid="{00000000-0010-0000-0300-000004000000}" name="CPU DP"/>
    <tableColumn id="5" xr3:uid="{00000000-0010-0000-0300-000005000000}" name="CPU máx. média"/>
    <tableColumn id="6" xr3:uid="{00000000-0010-0000-0300-000006000000}" name="Memória média (MB)"/>
    <tableColumn id="7" xr3:uid="{00000000-0010-0000-0300-000007000000}" name="Memória DP"/>
    <tableColumn id="8" xr3:uid="{00000000-0010-0000-0300-000008000000}" name="Memória máx. média (MB)"/>
    <tableColumn id="9" xr3:uid="{00000000-0010-0000-0300-000009000000}" name="Memória máx. D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opLeftCell="A4" workbookViewId="0">
      <selection sqref="A1:H1"/>
    </sheetView>
  </sheetViews>
  <sheetFormatPr defaultRowHeight="13.8"/>
  <cols>
    <col min="1" max="1" width="18" customWidth="1"/>
    <col min="2" max="2" width="78" customWidth="1"/>
    <col min="3" max="8" width="14" customWidth="1"/>
  </cols>
  <sheetData>
    <row r="1" spans="1:8" ht="24" customHeight="1">
      <c r="A1" s="41" t="s">
        <v>0</v>
      </c>
      <c r="B1" s="41"/>
      <c r="C1" s="41"/>
      <c r="D1" s="41"/>
      <c r="E1" s="41"/>
      <c r="F1" s="41"/>
      <c r="G1" s="41"/>
      <c r="H1" s="41"/>
    </row>
    <row r="2" spans="1:8">
      <c r="A2" s="3"/>
      <c r="B2" s="3"/>
      <c r="C2" s="3"/>
      <c r="D2" s="3"/>
      <c r="E2" s="3"/>
      <c r="F2" s="3"/>
      <c r="G2" s="3"/>
      <c r="H2" s="3"/>
    </row>
    <row r="3" spans="1:8">
      <c r="A3" s="42" t="s">
        <v>1</v>
      </c>
      <c r="B3" s="42"/>
      <c r="C3" s="42"/>
      <c r="D3" s="42"/>
      <c r="E3" s="42"/>
      <c r="F3" s="42"/>
      <c r="G3" s="42"/>
      <c r="H3" s="42"/>
    </row>
    <row r="4" spans="1:8" ht="27.15" customHeight="1">
      <c r="A4" s="4" t="s">
        <v>2</v>
      </c>
      <c r="B4" s="5" t="s">
        <v>3</v>
      </c>
      <c r="C4" s="3"/>
      <c r="D4" s="3"/>
      <c r="E4" s="3"/>
      <c r="F4" s="3"/>
      <c r="G4" s="3"/>
      <c r="H4" s="3"/>
    </row>
    <row r="5" spans="1:8" ht="27.15" customHeight="1">
      <c r="A5" s="4" t="s">
        <v>4</v>
      </c>
      <c r="B5" s="5" t="s">
        <v>5</v>
      </c>
      <c r="C5" s="3"/>
      <c r="D5" s="3"/>
      <c r="E5" s="3"/>
      <c r="F5" s="3"/>
      <c r="G5" s="3"/>
      <c r="H5" s="3"/>
    </row>
    <row r="6" spans="1:8" ht="27.15" customHeight="1">
      <c r="A6" s="4" t="s">
        <v>6</v>
      </c>
      <c r="B6" s="5" t="s">
        <v>7</v>
      </c>
      <c r="C6" s="3"/>
      <c r="D6" s="3"/>
      <c r="E6" s="3"/>
      <c r="F6" s="3"/>
      <c r="G6" s="3"/>
      <c r="H6" s="3"/>
    </row>
    <row r="7" spans="1:8" ht="27.15" customHeight="1">
      <c r="A7" s="4" t="s">
        <v>8</v>
      </c>
      <c r="B7" s="5" t="s">
        <v>9</v>
      </c>
      <c r="C7" s="3"/>
      <c r="D7" s="3"/>
      <c r="E7" s="3"/>
      <c r="F7" s="3"/>
      <c r="G7" s="3"/>
      <c r="H7" s="3"/>
    </row>
    <row r="8" spans="1:8" ht="27.15" customHeight="1">
      <c r="A8" s="4" t="s">
        <v>10</v>
      </c>
      <c r="B8" s="5" t="s">
        <v>11</v>
      </c>
      <c r="C8" s="3"/>
      <c r="D8" s="3"/>
      <c r="E8" s="3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42" t="s">
        <v>12</v>
      </c>
      <c r="B10" s="42"/>
      <c r="C10" s="42"/>
      <c r="D10" s="42"/>
      <c r="E10" s="42"/>
      <c r="F10" s="42"/>
      <c r="G10" s="42"/>
      <c r="H10" s="42"/>
    </row>
    <row r="11" spans="1:8" ht="26.4">
      <c r="A11" s="6" t="s">
        <v>13</v>
      </c>
      <c r="B11" s="6" t="s">
        <v>14</v>
      </c>
      <c r="C11" s="6" t="s">
        <v>15</v>
      </c>
      <c r="D11" s="3"/>
      <c r="E11" s="3"/>
      <c r="F11" s="3"/>
      <c r="G11" s="3"/>
      <c r="H11" s="3"/>
    </row>
    <row r="12" spans="1:8">
      <c r="A12" s="7" t="s">
        <v>16</v>
      </c>
      <c r="B12" s="7" t="s">
        <v>17</v>
      </c>
      <c r="C12" s="7" t="s">
        <v>18</v>
      </c>
      <c r="D12" s="3"/>
      <c r="E12" s="3"/>
      <c r="F12" s="3"/>
      <c r="G12" s="3"/>
      <c r="H12" s="3"/>
    </row>
    <row r="13" spans="1:8">
      <c r="A13" s="8" t="s">
        <v>19</v>
      </c>
      <c r="B13" s="8" t="s">
        <v>20</v>
      </c>
      <c r="C13" s="8" t="s">
        <v>21</v>
      </c>
      <c r="D13" s="3"/>
      <c r="E13" s="3"/>
      <c r="F13" s="3"/>
      <c r="G13" s="3"/>
      <c r="H13" s="3"/>
    </row>
    <row r="14" spans="1:8">
      <c r="A14" s="9" t="s">
        <v>22</v>
      </c>
      <c r="B14" s="9" t="s">
        <v>23</v>
      </c>
      <c r="C14" s="9" t="s">
        <v>24</v>
      </c>
      <c r="D14" s="3"/>
      <c r="E14" s="3"/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42" t="s">
        <v>25</v>
      </c>
      <c r="B16" s="42"/>
      <c r="C16" s="42"/>
      <c r="D16" s="42"/>
      <c r="E16" s="42"/>
      <c r="F16" s="42"/>
      <c r="G16" s="42"/>
      <c r="H16" s="42"/>
    </row>
    <row r="17" spans="1:8">
      <c r="A17" s="10" t="s">
        <v>26</v>
      </c>
      <c r="B17" s="11" t="s">
        <v>27</v>
      </c>
      <c r="C17" s="3"/>
      <c r="D17" s="3"/>
      <c r="E17" s="3"/>
      <c r="F17" s="3"/>
      <c r="G17" s="3"/>
      <c r="H17" s="3"/>
    </row>
    <row r="18" spans="1:8">
      <c r="A18" s="10" t="s">
        <v>28</v>
      </c>
      <c r="B18" s="11" t="s">
        <v>29</v>
      </c>
      <c r="C18" s="3"/>
      <c r="D18" s="3"/>
      <c r="E18" s="3"/>
      <c r="F18" s="3"/>
      <c r="G18" s="3"/>
      <c r="H18" s="3"/>
    </row>
    <row r="19" spans="1:8">
      <c r="A19" s="10" t="s">
        <v>30</v>
      </c>
      <c r="B19" s="11" t="s">
        <v>31</v>
      </c>
      <c r="C19" s="3"/>
      <c r="D19" s="3"/>
      <c r="E19" s="3"/>
      <c r="F19" s="3"/>
      <c r="G19" s="3"/>
      <c r="H19" s="3"/>
    </row>
    <row r="20" spans="1:8">
      <c r="A20" s="10" t="s">
        <v>32</v>
      </c>
      <c r="B20" s="11" t="s">
        <v>33</v>
      </c>
      <c r="C20" s="3"/>
      <c r="D20" s="3"/>
      <c r="E20" s="3"/>
      <c r="F20" s="3"/>
      <c r="G20" s="3"/>
      <c r="H20" s="3"/>
    </row>
    <row r="21" spans="1:8">
      <c r="A21" s="10" t="s">
        <v>34</v>
      </c>
      <c r="B21" s="11" t="s">
        <v>35</v>
      </c>
      <c r="C21" s="3"/>
      <c r="D21" s="3"/>
      <c r="E21" s="3"/>
      <c r="F21" s="3"/>
      <c r="G21" s="3"/>
      <c r="H21" s="3"/>
    </row>
    <row r="22" spans="1:8">
      <c r="A22" s="10" t="s">
        <v>36</v>
      </c>
      <c r="B22" s="11" t="s">
        <v>37</v>
      </c>
      <c r="C22" s="3"/>
      <c r="D22" s="3"/>
      <c r="E22" s="3"/>
      <c r="F22" s="3"/>
      <c r="G22" s="3"/>
      <c r="H22" s="3"/>
    </row>
    <row r="23" spans="1:8">
      <c r="A23" s="10" t="s">
        <v>38</v>
      </c>
      <c r="B23" s="11" t="s">
        <v>39</v>
      </c>
      <c r="C23" s="3"/>
      <c r="D23" s="3"/>
      <c r="E23" s="3"/>
      <c r="F23" s="3"/>
      <c r="G23" s="3"/>
      <c r="H23" s="3"/>
    </row>
    <row r="24" spans="1:8">
      <c r="A24" s="10" t="s">
        <v>40</v>
      </c>
      <c r="B24" s="11" t="s">
        <v>41</v>
      </c>
      <c r="C24" s="3"/>
      <c r="D24" s="3"/>
      <c r="E24" s="3"/>
      <c r="F24" s="3"/>
      <c r="G24" s="3"/>
      <c r="H24" s="3"/>
    </row>
    <row r="25" spans="1:8">
      <c r="A25" s="10" t="s">
        <v>42</v>
      </c>
      <c r="B25" s="11" t="s">
        <v>43</v>
      </c>
      <c r="C25" s="3"/>
      <c r="D25" s="3"/>
      <c r="E25" s="3"/>
      <c r="F25" s="3"/>
      <c r="G25" s="3"/>
      <c r="H25" s="3"/>
    </row>
    <row r="26" spans="1:8">
      <c r="A26" s="3"/>
      <c r="B26" s="3"/>
      <c r="C26" s="3"/>
      <c r="D26" s="3"/>
      <c r="E26" s="3"/>
      <c r="F26" s="3"/>
      <c r="G26" s="3"/>
      <c r="H26" s="3"/>
    </row>
    <row r="27" spans="1:8">
      <c r="A27" s="43" t="s">
        <v>44</v>
      </c>
      <c r="B27" s="43"/>
      <c r="C27" s="43"/>
      <c r="D27" s="43"/>
      <c r="E27" s="43"/>
      <c r="F27" s="43"/>
      <c r="G27" s="43"/>
      <c r="H27" s="43"/>
    </row>
    <row r="28" spans="1:8">
      <c r="A28" s="43"/>
      <c r="B28" s="43"/>
      <c r="C28" s="43"/>
      <c r="D28" s="43"/>
      <c r="E28" s="43"/>
      <c r="F28" s="43"/>
      <c r="G28" s="43"/>
      <c r="H28" s="43"/>
    </row>
    <row r="30" spans="1:8">
      <c r="A30" s="40" t="s">
        <v>45</v>
      </c>
      <c r="B30" s="40"/>
      <c r="C30" s="40"/>
      <c r="D30" s="40"/>
      <c r="E30" s="40"/>
      <c r="F30" s="40"/>
      <c r="G30" s="40"/>
      <c r="H30" s="40"/>
    </row>
    <row r="31" spans="1:8" ht="33.6" customHeight="1">
      <c r="A31" s="1" t="s">
        <v>46</v>
      </c>
      <c r="B31" s="2" t="s">
        <v>47</v>
      </c>
    </row>
    <row r="32" spans="1:8" ht="33.6" customHeight="1">
      <c r="A32" s="1" t="s">
        <v>48</v>
      </c>
      <c r="B32" s="2" t="s">
        <v>49</v>
      </c>
    </row>
    <row r="33" spans="1:2" ht="33.6" customHeight="1">
      <c r="A33" s="1" t="s">
        <v>50</v>
      </c>
      <c r="B33" s="2" t="s">
        <v>51</v>
      </c>
    </row>
    <row r="34" spans="1:2" ht="33.6" customHeight="1">
      <c r="A34" s="1" t="s">
        <v>52</v>
      </c>
      <c r="B34" s="2" t="s">
        <v>53</v>
      </c>
    </row>
  </sheetData>
  <mergeCells count="6">
    <mergeCell ref="A30:H30"/>
    <mergeCell ref="A1:H1"/>
    <mergeCell ref="A3:H3"/>
    <mergeCell ref="A10:H10"/>
    <mergeCell ref="A16:H16"/>
    <mergeCell ref="A27:H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sqref="A1:D1"/>
    </sheetView>
  </sheetViews>
  <sheetFormatPr defaultRowHeight="13.8"/>
  <cols>
    <col min="1" max="1" width="18" customWidth="1"/>
    <col min="2" max="2" width="28" customWidth="1"/>
    <col min="3" max="3" width="20" customWidth="1"/>
    <col min="4" max="4" width="42" customWidth="1"/>
  </cols>
  <sheetData>
    <row r="1" spans="1:4" ht="21">
      <c r="A1" s="41" t="s">
        <v>54</v>
      </c>
      <c r="B1" s="41"/>
      <c r="C1" s="41"/>
      <c r="D1" s="41"/>
    </row>
    <row r="2" spans="1:4">
      <c r="A2" s="3"/>
      <c r="B2" s="3"/>
      <c r="C2" s="3"/>
      <c r="D2" s="3"/>
    </row>
    <row r="3" spans="1:4">
      <c r="A3" s="6" t="s">
        <v>55</v>
      </c>
      <c r="B3" s="6" t="s">
        <v>56</v>
      </c>
      <c r="C3" s="6" t="s">
        <v>57</v>
      </c>
      <c r="D3" s="6" t="s">
        <v>58</v>
      </c>
    </row>
    <row r="4" spans="1:4">
      <c r="A4" s="12" t="s">
        <v>59</v>
      </c>
      <c r="B4" s="12" t="s">
        <v>60</v>
      </c>
      <c r="C4" s="12" t="s">
        <v>61</v>
      </c>
      <c r="D4" s="12" t="s">
        <v>62</v>
      </c>
    </row>
    <row r="5" spans="1:4">
      <c r="A5" s="12" t="s">
        <v>59</v>
      </c>
      <c r="B5" s="12" t="s">
        <v>63</v>
      </c>
      <c r="C5" s="12" t="s">
        <v>64</v>
      </c>
      <c r="D5" s="12"/>
    </row>
    <row r="6" spans="1:4">
      <c r="A6" s="12" t="s">
        <v>59</v>
      </c>
      <c r="B6" s="12" t="s">
        <v>65</v>
      </c>
      <c r="C6" s="12" t="s">
        <v>66</v>
      </c>
      <c r="D6" s="12" t="s">
        <v>67</v>
      </c>
    </row>
    <row r="7" spans="1:4">
      <c r="A7" s="12" t="s">
        <v>59</v>
      </c>
      <c r="B7" s="12" t="s">
        <v>68</v>
      </c>
      <c r="C7" s="12" t="s">
        <v>69</v>
      </c>
      <c r="D7" s="12" t="s">
        <v>70</v>
      </c>
    </row>
    <row r="8" spans="1:4">
      <c r="A8" s="12" t="s">
        <v>59</v>
      </c>
      <c r="B8" s="12" t="s">
        <v>71</v>
      </c>
      <c r="C8" s="12" t="s">
        <v>72</v>
      </c>
      <c r="D8" s="12"/>
    </row>
    <row r="9" spans="1:4">
      <c r="A9" s="12" t="s">
        <v>59</v>
      </c>
      <c r="B9" s="12" t="s">
        <v>73</v>
      </c>
      <c r="C9" s="12" t="s">
        <v>74</v>
      </c>
      <c r="D9" s="12"/>
    </row>
    <row r="10" spans="1:4">
      <c r="A10" s="12" t="s">
        <v>75</v>
      </c>
      <c r="B10" s="12" t="s">
        <v>76</v>
      </c>
      <c r="C10" s="12" t="s">
        <v>77</v>
      </c>
      <c r="D10" s="12"/>
    </row>
    <row r="11" spans="1:4">
      <c r="A11" s="12" t="s">
        <v>75</v>
      </c>
      <c r="B11" s="12" t="s">
        <v>48</v>
      </c>
      <c r="C11" s="12" t="s">
        <v>78</v>
      </c>
      <c r="D11" s="12" t="s">
        <v>79</v>
      </c>
    </row>
    <row r="12" spans="1:4">
      <c r="A12" s="12" t="s">
        <v>75</v>
      </c>
      <c r="B12" s="12" t="s">
        <v>80</v>
      </c>
      <c r="C12" s="12" t="s">
        <v>81</v>
      </c>
      <c r="D12" s="12" t="s">
        <v>82</v>
      </c>
    </row>
    <row r="13" spans="1:4">
      <c r="A13" s="12" t="s">
        <v>75</v>
      </c>
      <c r="B13" s="12" t="s">
        <v>83</v>
      </c>
      <c r="C13" s="12" t="s">
        <v>84</v>
      </c>
      <c r="D13" s="12"/>
    </row>
    <row r="14" spans="1:4">
      <c r="A14" s="12" t="s">
        <v>75</v>
      </c>
      <c r="B14" s="12" t="s">
        <v>85</v>
      </c>
      <c r="C14" s="12" t="s">
        <v>86</v>
      </c>
      <c r="D14" s="12"/>
    </row>
    <row r="15" spans="1:4">
      <c r="A15" s="12" t="s">
        <v>87</v>
      </c>
      <c r="B15" s="12" t="s">
        <v>88</v>
      </c>
      <c r="C15" s="12" t="s">
        <v>89</v>
      </c>
      <c r="D15" s="12" t="s">
        <v>90</v>
      </c>
    </row>
    <row r="16" spans="1:4">
      <c r="A16" s="12" t="s">
        <v>91</v>
      </c>
      <c r="B16" s="12" t="s">
        <v>92</v>
      </c>
      <c r="C16" s="12" t="s">
        <v>93</v>
      </c>
      <c r="D16" s="12" t="s">
        <v>94</v>
      </c>
    </row>
    <row r="17" spans="1:4">
      <c r="A17" s="12" t="s">
        <v>91</v>
      </c>
      <c r="B17" s="12" t="s">
        <v>95</v>
      </c>
      <c r="C17" s="12" t="s">
        <v>2</v>
      </c>
      <c r="D17" s="12" t="s">
        <v>96</v>
      </c>
    </row>
    <row r="18" spans="1:4">
      <c r="A18" s="12" t="s">
        <v>91</v>
      </c>
      <c r="B18" s="12" t="s">
        <v>97</v>
      </c>
      <c r="C18" s="12" t="s">
        <v>98</v>
      </c>
      <c r="D18" s="12" t="s">
        <v>99</v>
      </c>
    </row>
    <row r="19" spans="1:4">
      <c r="A19" s="12" t="s">
        <v>91</v>
      </c>
      <c r="B19" s="12" t="s">
        <v>100</v>
      </c>
      <c r="C19" s="12" t="s">
        <v>101</v>
      </c>
      <c r="D19" s="12"/>
    </row>
    <row r="20" spans="1:4">
      <c r="A20" s="12" t="s">
        <v>91</v>
      </c>
      <c r="B20" s="12" t="s">
        <v>102</v>
      </c>
      <c r="C20" s="12" t="s">
        <v>103</v>
      </c>
      <c r="D20" s="12"/>
    </row>
    <row r="21" spans="1:4">
      <c r="A21" s="12" t="s">
        <v>91</v>
      </c>
      <c r="B21" s="12" t="s">
        <v>104</v>
      </c>
      <c r="C21" s="12" t="s">
        <v>105</v>
      </c>
      <c r="D21" s="12"/>
    </row>
    <row r="22" spans="1:4">
      <c r="A22" s="12" t="s">
        <v>91</v>
      </c>
      <c r="B22" s="12" t="s">
        <v>106</v>
      </c>
      <c r="C22" s="12" t="s">
        <v>107</v>
      </c>
      <c r="D22" s="12"/>
    </row>
    <row r="23" spans="1:4">
      <c r="A23" s="12" t="s">
        <v>91</v>
      </c>
      <c r="B23" s="12" t="s">
        <v>108</v>
      </c>
      <c r="C23" s="12" t="s">
        <v>109</v>
      </c>
      <c r="D23" s="12" t="s">
        <v>110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3"/>
  <sheetViews>
    <sheetView tabSelected="1" topLeftCell="AJ1" workbookViewId="0">
      <selection activeCell="AP19" sqref="AP19"/>
    </sheetView>
  </sheetViews>
  <sheetFormatPr defaultRowHeight="13.8"/>
  <cols>
    <col min="1" max="1" width="16" customWidth="1"/>
    <col min="2" max="2" width="10" customWidth="1"/>
    <col min="3" max="3" width="12" customWidth="1"/>
    <col min="4" max="4" width="10" customWidth="1"/>
    <col min="5" max="5" width="14" customWidth="1"/>
    <col min="6" max="6" width="12" customWidth="1"/>
    <col min="7" max="8" width="11" customWidth="1"/>
    <col min="9" max="10" width="18" customWidth="1"/>
    <col min="11" max="11" width="12" customWidth="1"/>
    <col min="12" max="14" width="15" customWidth="1"/>
    <col min="15" max="20" width="14" customWidth="1"/>
    <col min="21" max="23" width="15" customWidth="1"/>
    <col min="24" max="25" width="16" customWidth="1"/>
    <col min="26" max="31" width="18" customWidth="1"/>
    <col min="32" max="39" width="15" customWidth="1"/>
    <col min="40" max="40" width="22" customWidth="1"/>
    <col min="41" max="41" width="38.5" customWidth="1"/>
    <col min="42" max="42" width="16" customWidth="1"/>
    <col min="43" max="43" width="48" customWidth="1"/>
  </cols>
  <sheetData>
    <row r="1" spans="1:43" ht="21">
      <c r="A1" s="41" t="s">
        <v>111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3"/>
      <c r="AQ1" s="3"/>
    </row>
    <row r="2" spans="1:43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3"/>
      <c r="AQ2" s="3"/>
    </row>
    <row r="3" spans="1:4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 ht="33.6" customHeight="1">
      <c r="A4" s="6" t="s">
        <v>113</v>
      </c>
      <c r="B4" s="6" t="s">
        <v>114</v>
      </c>
      <c r="C4" s="6" t="s">
        <v>14</v>
      </c>
      <c r="D4" s="6" t="s">
        <v>115</v>
      </c>
      <c r="E4" s="6" t="s">
        <v>116</v>
      </c>
      <c r="F4" s="6" t="s">
        <v>117</v>
      </c>
      <c r="G4" s="6" t="s">
        <v>118</v>
      </c>
      <c r="H4" s="6" t="s">
        <v>119</v>
      </c>
      <c r="I4" s="6" t="s">
        <v>120</v>
      </c>
      <c r="J4" s="6" t="s">
        <v>121</v>
      </c>
      <c r="K4" s="6" t="s">
        <v>122</v>
      </c>
      <c r="L4" s="6" t="s">
        <v>123</v>
      </c>
      <c r="M4" s="6" t="s">
        <v>124</v>
      </c>
      <c r="N4" s="6" t="s">
        <v>125</v>
      </c>
      <c r="O4" s="6" t="s">
        <v>126</v>
      </c>
      <c r="P4" s="6" t="s">
        <v>127</v>
      </c>
      <c r="Q4" s="6" t="s">
        <v>128</v>
      </c>
      <c r="R4" s="6" t="s">
        <v>129</v>
      </c>
      <c r="S4" s="6" t="s">
        <v>130</v>
      </c>
      <c r="T4" s="6" t="s">
        <v>131</v>
      </c>
      <c r="U4" s="6" t="s">
        <v>132</v>
      </c>
      <c r="V4" s="6" t="s">
        <v>133</v>
      </c>
      <c r="W4" s="6" t="s">
        <v>134</v>
      </c>
      <c r="X4" s="6" t="s">
        <v>135</v>
      </c>
      <c r="Y4" s="6" t="s">
        <v>136</v>
      </c>
      <c r="Z4" s="6" t="s">
        <v>137</v>
      </c>
      <c r="AA4" s="6" t="s">
        <v>138</v>
      </c>
      <c r="AB4" s="6" t="s">
        <v>139</v>
      </c>
      <c r="AC4" s="6" t="s">
        <v>140</v>
      </c>
      <c r="AD4" s="6" t="s">
        <v>141</v>
      </c>
      <c r="AE4" s="6" t="s">
        <v>142</v>
      </c>
      <c r="AF4" s="6" t="s">
        <v>143</v>
      </c>
      <c r="AG4" s="6" t="s">
        <v>144</v>
      </c>
      <c r="AH4" s="6" t="s">
        <v>145</v>
      </c>
      <c r="AI4" s="6" t="s">
        <v>146</v>
      </c>
      <c r="AJ4" s="6" t="s">
        <v>147</v>
      </c>
      <c r="AK4" s="6" t="s">
        <v>148</v>
      </c>
      <c r="AL4" s="6" t="s">
        <v>149</v>
      </c>
      <c r="AM4" s="6" t="s">
        <v>150</v>
      </c>
      <c r="AN4" s="6" t="s">
        <v>151</v>
      </c>
      <c r="AO4" s="6" t="s">
        <v>152</v>
      </c>
      <c r="AP4" s="6" t="s">
        <v>153</v>
      </c>
      <c r="AQ4" s="6" t="s">
        <v>154</v>
      </c>
    </row>
    <row r="5" spans="1:43" ht="52.8">
      <c r="A5" s="30" t="s">
        <v>155</v>
      </c>
      <c r="B5" s="31" t="s">
        <v>16</v>
      </c>
      <c r="C5" s="31" t="s">
        <v>17</v>
      </c>
      <c r="D5" s="30">
        <v>1</v>
      </c>
      <c r="E5" s="30" t="s">
        <v>156</v>
      </c>
      <c r="F5" s="32">
        <v>46198</v>
      </c>
      <c r="G5" s="33">
        <v>46198.751296296294</v>
      </c>
      <c r="H5" s="33">
        <v>46198.752349537041</v>
      </c>
      <c r="I5" s="30">
        <v>90</v>
      </c>
      <c r="J5" s="34">
        <v>91</v>
      </c>
      <c r="K5" s="35">
        <v>4.1100722416248505</v>
      </c>
      <c r="L5" s="36">
        <v>370</v>
      </c>
      <c r="M5" s="34">
        <v>0</v>
      </c>
      <c r="N5" s="34">
        <v>100</v>
      </c>
      <c r="O5" s="34">
        <v>24.599169045945949</v>
      </c>
      <c r="P5" s="34">
        <v>24.480279500000002</v>
      </c>
      <c r="Q5" s="34">
        <v>27.2200761</v>
      </c>
      <c r="R5" s="34">
        <v>28.0122985</v>
      </c>
      <c r="S5" s="34">
        <v>29.77434057</v>
      </c>
      <c r="T5" s="34">
        <v>78.238027000000002</v>
      </c>
      <c r="U5" s="36">
        <v>370</v>
      </c>
      <c r="V5" s="36">
        <v>0</v>
      </c>
      <c r="W5" s="36">
        <v>20</v>
      </c>
      <c r="X5" s="35">
        <v>6.3270000000000007E-2</v>
      </c>
      <c r="Y5" s="35">
        <v>0.16925000000000001</v>
      </c>
      <c r="Z5" s="34">
        <v>0</v>
      </c>
      <c r="AA5" s="34">
        <v>1</v>
      </c>
      <c r="AB5" s="34">
        <v>370</v>
      </c>
      <c r="AC5" s="34">
        <v>370</v>
      </c>
      <c r="AD5" s="34">
        <v>3</v>
      </c>
      <c r="AE5" s="37" t="s">
        <v>157</v>
      </c>
      <c r="AF5" s="36">
        <v>370</v>
      </c>
      <c r="AG5" s="36">
        <v>370</v>
      </c>
      <c r="AH5" s="36">
        <v>0</v>
      </c>
      <c r="AI5" s="36">
        <v>0</v>
      </c>
      <c r="AJ5" s="36">
        <v>0</v>
      </c>
      <c r="AK5" s="36">
        <v>9859</v>
      </c>
      <c r="AL5" s="36">
        <v>9876</v>
      </c>
      <c r="AM5" s="36">
        <v>9895</v>
      </c>
      <c r="AN5" s="38">
        <v>46198.752349710645</v>
      </c>
      <c r="AO5" s="37" t="s">
        <v>158</v>
      </c>
      <c r="AP5" s="37" t="s">
        <v>157</v>
      </c>
      <c r="AQ5" s="37" t="s">
        <v>159</v>
      </c>
    </row>
    <row r="6" spans="1:43" ht="52.8">
      <c r="A6" s="30" t="s">
        <v>160</v>
      </c>
      <c r="B6" s="31" t="s">
        <v>16</v>
      </c>
      <c r="C6" s="31" t="s">
        <v>17</v>
      </c>
      <c r="D6" s="30">
        <v>2</v>
      </c>
      <c r="E6" s="30" t="s">
        <v>156</v>
      </c>
      <c r="F6" s="32">
        <v>46198</v>
      </c>
      <c r="G6" s="33">
        <v>46198.768009259256</v>
      </c>
      <c r="H6" s="33">
        <v>46198.769062500003</v>
      </c>
      <c r="I6" s="30">
        <v>90</v>
      </c>
      <c r="J6" s="34">
        <v>91</v>
      </c>
      <c r="K6" s="35">
        <v>4.10997805505332</v>
      </c>
      <c r="L6" s="36">
        <v>370</v>
      </c>
      <c r="M6" s="34">
        <v>0</v>
      </c>
      <c r="N6" s="34">
        <v>100</v>
      </c>
      <c r="O6" s="34">
        <v>25.184499113513517</v>
      </c>
      <c r="P6" s="34">
        <v>24.717872</v>
      </c>
      <c r="Q6" s="34">
        <v>28.464913599999999</v>
      </c>
      <c r="R6" s="34">
        <v>30.415926450000001</v>
      </c>
      <c r="S6" s="34">
        <v>34.299249869999997</v>
      </c>
      <c r="T6" s="34">
        <v>39.644852999999998</v>
      </c>
      <c r="U6" s="36">
        <v>370</v>
      </c>
      <c r="V6" s="36">
        <v>0</v>
      </c>
      <c r="W6" s="36">
        <v>20</v>
      </c>
      <c r="X6" s="35">
        <v>6.3270000000000007E-2</v>
      </c>
      <c r="Y6" s="35">
        <v>0.169238</v>
      </c>
      <c r="Z6" s="34">
        <v>0</v>
      </c>
      <c r="AA6" s="34">
        <v>1</v>
      </c>
      <c r="AB6" s="34">
        <v>370</v>
      </c>
      <c r="AC6" s="34">
        <v>370</v>
      </c>
      <c r="AD6" s="34">
        <v>35</v>
      </c>
      <c r="AE6" s="37" t="s">
        <v>157</v>
      </c>
      <c r="AF6" s="36">
        <v>370</v>
      </c>
      <c r="AG6" s="36">
        <v>370</v>
      </c>
      <c r="AH6" s="36">
        <v>0</v>
      </c>
      <c r="AI6" s="36">
        <v>0</v>
      </c>
      <c r="AJ6" s="36">
        <v>0</v>
      </c>
      <c r="AK6" s="36">
        <v>9871</v>
      </c>
      <c r="AL6" s="36">
        <v>9870</v>
      </c>
      <c r="AM6" s="36">
        <v>9889</v>
      </c>
      <c r="AN6" s="38">
        <v>46198.769064548615</v>
      </c>
      <c r="AO6" s="37" t="s">
        <v>158</v>
      </c>
      <c r="AP6" s="37" t="s">
        <v>157</v>
      </c>
      <c r="AQ6" s="37" t="s">
        <v>159</v>
      </c>
    </row>
    <row r="7" spans="1:43" ht="52.8">
      <c r="A7" s="30" t="s">
        <v>161</v>
      </c>
      <c r="B7" s="31" t="s">
        <v>16</v>
      </c>
      <c r="C7" s="31" t="s">
        <v>17</v>
      </c>
      <c r="D7" s="30">
        <v>3</v>
      </c>
      <c r="E7" s="30" t="s">
        <v>156</v>
      </c>
      <c r="F7" s="32">
        <v>46198</v>
      </c>
      <c r="G7" s="33">
        <v>46198.782824074071</v>
      </c>
      <c r="H7" s="33">
        <v>46198.783877314818</v>
      </c>
      <c r="I7" s="30">
        <v>90</v>
      </c>
      <c r="J7" s="34">
        <v>91</v>
      </c>
      <c r="K7" s="35">
        <v>4.1098250363486093</v>
      </c>
      <c r="L7" s="36">
        <v>370</v>
      </c>
      <c r="M7" s="34">
        <v>0</v>
      </c>
      <c r="N7" s="34">
        <v>100</v>
      </c>
      <c r="O7" s="34">
        <v>24.766953470270288</v>
      </c>
      <c r="P7" s="34">
        <v>24.540381500000002</v>
      </c>
      <c r="Q7" s="34">
        <v>27.3103932</v>
      </c>
      <c r="R7" s="34">
        <v>28.209188449999999</v>
      </c>
      <c r="S7" s="34">
        <v>30.97296948</v>
      </c>
      <c r="T7" s="34">
        <v>37.145049999999998</v>
      </c>
      <c r="U7" s="36">
        <v>370</v>
      </c>
      <c r="V7" s="36">
        <v>0</v>
      </c>
      <c r="W7" s="36">
        <v>20</v>
      </c>
      <c r="X7" s="35">
        <v>6.3270000000000007E-2</v>
      </c>
      <c r="Y7" s="35">
        <v>0.16921600000000001</v>
      </c>
      <c r="Z7" s="34">
        <v>0</v>
      </c>
      <c r="AA7" s="34">
        <v>1</v>
      </c>
      <c r="AB7" s="34">
        <v>370</v>
      </c>
      <c r="AC7" s="34">
        <v>370</v>
      </c>
      <c r="AD7" s="34">
        <v>50</v>
      </c>
      <c r="AE7" s="37" t="s">
        <v>157</v>
      </c>
      <c r="AF7" s="36">
        <v>370</v>
      </c>
      <c r="AG7" s="36">
        <v>370</v>
      </c>
      <c r="AH7" s="36">
        <v>0</v>
      </c>
      <c r="AI7" s="36">
        <v>0</v>
      </c>
      <c r="AJ7" s="36">
        <v>0</v>
      </c>
      <c r="AK7" s="36">
        <v>9886</v>
      </c>
      <c r="AL7" s="36">
        <v>9866</v>
      </c>
      <c r="AM7" s="36">
        <v>9878</v>
      </c>
      <c r="AN7" s="38">
        <v>46198.783876747686</v>
      </c>
      <c r="AO7" s="37" t="s">
        <v>158</v>
      </c>
      <c r="AP7" s="37" t="s">
        <v>157</v>
      </c>
      <c r="AQ7" s="37" t="s">
        <v>159</v>
      </c>
    </row>
    <row r="8" spans="1:43" ht="52.8">
      <c r="A8" s="30" t="s">
        <v>162</v>
      </c>
      <c r="B8" s="37" t="s">
        <v>19</v>
      </c>
      <c r="C8" s="37" t="s">
        <v>20</v>
      </c>
      <c r="D8" s="30">
        <v>1</v>
      </c>
      <c r="E8" s="30" t="s">
        <v>156</v>
      </c>
      <c r="F8" s="32">
        <v>46198</v>
      </c>
      <c r="G8" s="33">
        <v>46198.754953703705</v>
      </c>
      <c r="H8" s="33">
        <v>46198.756018518521</v>
      </c>
      <c r="I8" s="30">
        <v>90</v>
      </c>
      <c r="J8" s="34">
        <v>92</v>
      </c>
      <c r="K8" s="35">
        <v>16.211855989872877</v>
      </c>
      <c r="L8" s="36">
        <v>1459</v>
      </c>
      <c r="M8" s="34">
        <v>0</v>
      </c>
      <c r="N8" s="34">
        <v>100</v>
      </c>
      <c r="O8" s="34">
        <v>22.480815660726517</v>
      </c>
      <c r="P8" s="34">
        <v>22.165728999999999</v>
      </c>
      <c r="Q8" s="34">
        <v>24.6012412</v>
      </c>
      <c r="R8" s="34">
        <v>25.716913000000002</v>
      </c>
      <c r="S8" s="34">
        <v>28.814432600000014</v>
      </c>
      <c r="T8" s="34">
        <v>73.733766000000003</v>
      </c>
      <c r="U8" s="36">
        <v>1459</v>
      </c>
      <c r="V8" s="36">
        <v>0</v>
      </c>
      <c r="W8" s="36">
        <v>50</v>
      </c>
      <c r="X8" s="35">
        <v>0.24948899999999999</v>
      </c>
      <c r="Y8" s="35">
        <v>0.66727199999999998</v>
      </c>
      <c r="Z8" s="34">
        <v>0</v>
      </c>
      <c r="AA8" s="34">
        <v>1</v>
      </c>
      <c r="AB8" s="34">
        <v>1459</v>
      </c>
      <c r="AC8" s="34">
        <v>1459</v>
      </c>
      <c r="AD8" s="34">
        <v>3</v>
      </c>
      <c r="AE8" s="37" t="s">
        <v>157</v>
      </c>
      <c r="AF8" s="36">
        <v>1459</v>
      </c>
      <c r="AG8" s="36">
        <v>1459</v>
      </c>
      <c r="AH8" s="36">
        <v>0</v>
      </c>
      <c r="AI8" s="36">
        <v>0</v>
      </c>
      <c r="AJ8" s="36">
        <v>0</v>
      </c>
      <c r="AK8" s="36">
        <v>9515</v>
      </c>
      <c r="AL8" s="36">
        <v>9501</v>
      </c>
      <c r="AM8" s="36">
        <v>9525</v>
      </c>
      <c r="AN8" s="38">
        <v>46198.756004444447</v>
      </c>
      <c r="AO8" s="37" t="s">
        <v>158</v>
      </c>
      <c r="AP8" s="37" t="s">
        <v>157</v>
      </c>
      <c r="AQ8" s="37" t="s">
        <v>159</v>
      </c>
    </row>
    <row r="9" spans="1:43" ht="52.8">
      <c r="A9" s="30" t="s">
        <v>163</v>
      </c>
      <c r="B9" s="37" t="s">
        <v>19</v>
      </c>
      <c r="C9" s="37" t="s">
        <v>20</v>
      </c>
      <c r="D9" s="30">
        <v>2</v>
      </c>
      <c r="E9" s="30" t="s">
        <v>156</v>
      </c>
      <c r="F9" s="32">
        <v>46198</v>
      </c>
      <c r="G9" s="33">
        <v>46198.773310185185</v>
      </c>
      <c r="H9" s="33">
        <v>46198.774363425924</v>
      </c>
      <c r="I9" s="30">
        <v>90</v>
      </c>
      <c r="J9" s="34">
        <v>91</v>
      </c>
      <c r="K9" s="35">
        <v>16.212061410992963</v>
      </c>
      <c r="L9" s="36">
        <v>1459</v>
      </c>
      <c r="M9" s="34">
        <v>0</v>
      </c>
      <c r="N9" s="34">
        <v>100</v>
      </c>
      <c r="O9" s="34">
        <v>23.812701040438682</v>
      </c>
      <c r="P9" s="34">
        <v>22.962789000000001</v>
      </c>
      <c r="Q9" s="34">
        <v>26.4695052</v>
      </c>
      <c r="R9" s="34">
        <v>29.881829699999997</v>
      </c>
      <c r="S9" s="34">
        <v>42.237992400000039</v>
      </c>
      <c r="T9" s="34">
        <v>75.150735999999995</v>
      </c>
      <c r="U9" s="36">
        <v>1459</v>
      </c>
      <c r="V9" s="36">
        <v>0</v>
      </c>
      <c r="W9" s="36">
        <v>50</v>
      </c>
      <c r="X9" s="35">
        <v>0.24948899999999999</v>
      </c>
      <c r="Y9" s="35">
        <v>0.66728200000000004</v>
      </c>
      <c r="Z9" s="34">
        <v>0</v>
      </c>
      <c r="AA9" s="34">
        <v>1</v>
      </c>
      <c r="AB9" s="34">
        <v>1459</v>
      </c>
      <c r="AC9" s="34">
        <v>1459</v>
      </c>
      <c r="AD9" s="34">
        <v>3</v>
      </c>
      <c r="AE9" s="37" t="s">
        <v>157</v>
      </c>
      <c r="AF9" s="36">
        <v>1459</v>
      </c>
      <c r="AG9" s="36">
        <v>1459</v>
      </c>
      <c r="AH9" s="36">
        <v>0</v>
      </c>
      <c r="AI9" s="36">
        <v>0</v>
      </c>
      <c r="AJ9" s="36">
        <v>0</v>
      </c>
      <c r="AK9" s="36">
        <v>9490</v>
      </c>
      <c r="AL9" s="36">
        <v>9521</v>
      </c>
      <c r="AM9" s="36">
        <v>9530</v>
      </c>
      <c r="AN9" s="38">
        <v>46198.774355231479</v>
      </c>
      <c r="AO9" s="37" t="s">
        <v>158</v>
      </c>
      <c r="AP9" s="37" t="s">
        <v>157</v>
      </c>
      <c r="AQ9" s="37" t="s">
        <v>159</v>
      </c>
    </row>
    <row r="10" spans="1:43" ht="52.8">
      <c r="A10" s="30" t="s">
        <v>164</v>
      </c>
      <c r="B10" s="37" t="s">
        <v>19</v>
      </c>
      <c r="C10" s="37" t="s">
        <v>20</v>
      </c>
      <c r="D10" s="30">
        <v>3</v>
      </c>
      <c r="E10" s="30" t="s">
        <v>156</v>
      </c>
      <c r="F10" s="32">
        <v>46198</v>
      </c>
      <c r="G10" s="33">
        <v>46198.786736111113</v>
      </c>
      <c r="H10" s="33">
        <v>46198.787800925929</v>
      </c>
      <c r="I10" s="30">
        <v>90</v>
      </c>
      <c r="J10" s="34">
        <v>92</v>
      </c>
      <c r="K10" s="35">
        <v>16.212132068687058</v>
      </c>
      <c r="L10" s="36">
        <v>1459</v>
      </c>
      <c r="M10" s="34">
        <v>0</v>
      </c>
      <c r="N10" s="34">
        <v>100</v>
      </c>
      <c r="O10" s="34">
        <v>22.769600193283058</v>
      </c>
      <c r="P10" s="34">
        <v>22.476469000000002</v>
      </c>
      <c r="Q10" s="34">
        <v>24.900873200000003</v>
      </c>
      <c r="R10" s="34">
        <v>26.100438699999998</v>
      </c>
      <c r="S10" s="34">
        <v>29.894483320000017</v>
      </c>
      <c r="T10" s="34">
        <v>35.345097000000003</v>
      </c>
      <c r="U10" s="36">
        <v>1459</v>
      </c>
      <c r="V10" s="36">
        <v>0</v>
      </c>
      <c r="W10" s="36">
        <v>50</v>
      </c>
      <c r="X10" s="35">
        <v>0.24948899999999999</v>
      </c>
      <c r="Y10" s="35">
        <v>0.66726799999999997</v>
      </c>
      <c r="Z10" s="34">
        <v>0</v>
      </c>
      <c r="AA10" s="34">
        <v>1</v>
      </c>
      <c r="AB10" s="34">
        <v>1459</v>
      </c>
      <c r="AC10" s="34">
        <v>1459</v>
      </c>
      <c r="AD10" s="34">
        <v>3</v>
      </c>
      <c r="AE10" s="37" t="s">
        <v>157</v>
      </c>
      <c r="AF10" s="36">
        <v>1459</v>
      </c>
      <c r="AG10" s="36">
        <v>1459</v>
      </c>
      <c r="AH10" s="36">
        <v>0</v>
      </c>
      <c r="AI10" s="36">
        <v>0</v>
      </c>
      <c r="AJ10" s="36">
        <v>0</v>
      </c>
      <c r="AK10" s="36">
        <v>9513</v>
      </c>
      <c r="AL10" s="36">
        <v>9505</v>
      </c>
      <c r="AM10" s="36">
        <v>9523</v>
      </c>
      <c r="AN10" s="38">
        <v>46198.78778496528</v>
      </c>
      <c r="AO10" s="37" t="s">
        <v>158</v>
      </c>
      <c r="AP10" s="37" t="s">
        <v>157</v>
      </c>
      <c r="AQ10" s="37" t="s">
        <v>159</v>
      </c>
    </row>
    <row r="11" spans="1:43" ht="52.8">
      <c r="A11" s="30" t="s">
        <v>165</v>
      </c>
      <c r="B11" s="39" t="s">
        <v>22</v>
      </c>
      <c r="C11" s="39" t="s">
        <v>23</v>
      </c>
      <c r="D11" s="30">
        <v>1</v>
      </c>
      <c r="E11" s="30" t="s">
        <v>156</v>
      </c>
      <c r="F11" s="32">
        <v>46198</v>
      </c>
      <c r="G11" s="33">
        <v>46198.758275462962</v>
      </c>
      <c r="H11" s="33">
        <v>46198.759328703702</v>
      </c>
      <c r="I11" s="30">
        <v>90</v>
      </c>
      <c r="J11" s="34">
        <v>91</v>
      </c>
      <c r="K11" s="35">
        <v>32.323504810273491</v>
      </c>
      <c r="L11" s="36">
        <v>2909</v>
      </c>
      <c r="M11" s="34">
        <v>0</v>
      </c>
      <c r="N11" s="34">
        <v>100</v>
      </c>
      <c r="O11" s="34">
        <v>25.493538037126175</v>
      </c>
      <c r="P11" s="34">
        <v>21.9025</v>
      </c>
      <c r="Q11" s="34">
        <v>27.576088400000003</v>
      </c>
      <c r="R11" s="34">
        <v>31.038513399999999</v>
      </c>
      <c r="S11" s="34">
        <v>139.6883908800001</v>
      </c>
      <c r="T11" s="34">
        <v>223.82726400000001</v>
      </c>
      <c r="U11" s="36">
        <v>2909</v>
      </c>
      <c r="V11" s="36">
        <v>0</v>
      </c>
      <c r="W11" s="36">
        <v>100</v>
      </c>
      <c r="X11" s="35">
        <v>0.49743900000000002</v>
      </c>
      <c r="Y11" s="35">
        <v>1.3303659999999999</v>
      </c>
      <c r="Z11" s="34">
        <v>0</v>
      </c>
      <c r="AA11" s="34">
        <v>1</v>
      </c>
      <c r="AB11" s="34">
        <v>2909</v>
      </c>
      <c r="AC11" s="34">
        <v>2909</v>
      </c>
      <c r="AD11" s="34">
        <v>3</v>
      </c>
      <c r="AE11" s="37" t="s">
        <v>157</v>
      </c>
      <c r="AF11" s="36">
        <v>2909</v>
      </c>
      <c r="AG11" s="36">
        <v>2909</v>
      </c>
      <c r="AH11" s="36">
        <v>0</v>
      </c>
      <c r="AI11" s="36">
        <v>0</v>
      </c>
      <c r="AJ11" s="36">
        <v>0</v>
      </c>
      <c r="AK11" s="36">
        <v>9017</v>
      </c>
      <c r="AL11" s="36">
        <v>9052</v>
      </c>
      <c r="AM11" s="36">
        <v>9022</v>
      </c>
      <c r="AN11" s="38">
        <v>46198.759319444442</v>
      </c>
      <c r="AO11" s="37" t="s">
        <v>158</v>
      </c>
      <c r="AP11" s="37" t="s">
        <v>157</v>
      </c>
      <c r="AQ11" s="37" t="s">
        <v>159</v>
      </c>
    </row>
    <row r="12" spans="1:43" ht="52.8">
      <c r="A12" s="30" t="s">
        <v>166</v>
      </c>
      <c r="B12" s="39" t="s">
        <v>22</v>
      </c>
      <c r="C12" s="39" t="s">
        <v>23</v>
      </c>
      <c r="D12" s="30">
        <v>2</v>
      </c>
      <c r="E12" s="30" t="s">
        <v>156</v>
      </c>
      <c r="F12" s="32">
        <v>46198</v>
      </c>
      <c r="G12" s="33">
        <v>46198.778414351851</v>
      </c>
      <c r="H12" s="33">
        <v>46198.779467592591</v>
      </c>
      <c r="I12" s="30">
        <v>90</v>
      </c>
      <c r="J12" s="34">
        <v>91</v>
      </c>
      <c r="K12" s="35">
        <v>32.323666429631373</v>
      </c>
      <c r="L12" s="36">
        <v>2909</v>
      </c>
      <c r="M12" s="34">
        <v>0</v>
      </c>
      <c r="N12" s="34">
        <v>100</v>
      </c>
      <c r="O12" s="34">
        <v>25.498434611550429</v>
      </c>
      <c r="P12" s="34">
        <v>22.774493</v>
      </c>
      <c r="Q12" s="34">
        <v>29.948807400000003</v>
      </c>
      <c r="R12" s="34">
        <v>34.337650399999994</v>
      </c>
      <c r="S12" s="34">
        <v>83.949180120000236</v>
      </c>
      <c r="T12" s="34">
        <v>141.53758999999999</v>
      </c>
      <c r="U12" s="36">
        <v>2909</v>
      </c>
      <c r="V12" s="36">
        <v>0</v>
      </c>
      <c r="W12" s="36">
        <v>100</v>
      </c>
      <c r="X12" s="35">
        <v>0.49743900000000002</v>
      </c>
      <c r="Y12" s="35">
        <v>1.3303579999999999</v>
      </c>
      <c r="Z12" s="34">
        <v>0</v>
      </c>
      <c r="AA12" s="34">
        <v>1</v>
      </c>
      <c r="AB12" s="34">
        <v>2909</v>
      </c>
      <c r="AC12" s="34">
        <v>2909</v>
      </c>
      <c r="AD12" s="34">
        <v>3</v>
      </c>
      <c r="AE12" s="37" t="s">
        <v>157</v>
      </c>
      <c r="AF12" s="36">
        <v>2909</v>
      </c>
      <c r="AG12" s="36">
        <v>2909</v>
      </c>
      <c r="AH12" s="36">
        <v>0</v>
      </c>
      <c r="AI12" s="36">
        <v>0</v>
      </c>
      <c r="AJ12" s="36">
        <v>0</v>
      </c>
      <c r="AK12" s="36">
        <v>9060</v>
      </c>
      <c r="AL12" s="36">
        <v>9013</v>
      </c>
      <c r="AM12" s="36">
        <v>9018</v>
      </c>
      <c r="AN12" s="38">
        <v>46198.779462708335</v>
      </c>
      <c r="AO12" s="37" t="s">
        <v>158</v>
      </c>
      <c r="AP12" s="37" t="s">
        <v>157</v>
      </c>
      <c r="AQ12" s="37" t="s">
        <v>159</v>
      </c>
    </row>
    <row r="13" spans="1:43" ht="52.8">
      <c r="A13" s="30" t="s">
        <v>167</v>
      </c>
      <c r="B13" s="39" t="s">
        <v>22</v>
      </c>
      <c r="C13" s="39" t="s">
        <v>23</v>
      </c>
      <c r="D13" s="30">
        <v>3</v>
      </c>
      <c r="E13" s="30" t="s">
        <v>156</v>
      </c>
      <c r="F13" s="32">
        <v>46198</v>
      </c>
      <c r="G13" s="33">
        <v>46198.790335648147</v>
      </c>
      <c r="H13" s="33">
        <v>46198.791388888887</v>
      </c>
      <c r="I13" s="30">
        <v>90</v>
      </c>
      <c r="J13" s="34">
        <v>91</v>
      </c>
      <c r="K13" s="35">
        <v>32.323539384543963</v>
      </c>
      <c r="L13" s="36">
        <v>2909</v>
      </c>
      <c r="M13" s="34">
        <v>0</v>
      </c>
      <c r="N13" s="34">
        <v>100</v>
      </c>
      <c r="O13" s="34">
        <v>25.513202473014797</v>
      </c>
      <c r="P13" s="34">
        <v>22.671478</v>
      </c>
      <c r="Q13" s="34">
        <v>32.042358200000002</v>
      </c>
      <c r="R13" s="34">
        <v>35.656612199999998</v>
      </c>
      <c r="S13" s="34">
        <v>78.541800840000121</v>
      </c>
      <c r="T13" s="34">
        <v>151.23692</v>
      </c>
      <c r="U13" s="36">
        <v>2909</v>
      </c>
      <c r="V13" s="36">
        <v>0</v>
      </c>
      <c r="W13" s="36">
        <v>100</v>
      </c>
      <c r="X13" s="35">
        <v>0.49743900000000002</v>
      </c>
      <c r="Y13" s="35">
        <v>1.3303860000000001</v>
      </c>
      <c r="Z13" s="34">
        <v>0</v>
      </c>
      <c r="AA13" s="34">
        <v>1</v>
      </c>
      <c r="AB13" s="34">
        <v>2909</v>
      </c>
      <c r="AC13" s="34">
        <v>2909</v>
      </c>
      <c r="AD13" s="34">
        <v>3</v>
      </c>
      <c r="AE13" s="37" t="s">
        <v>157</v>
      </c>
      <c r="AF13" s="36">
        <v>2909</v>
      </c>
      <c r="AG13" s="36">
        <v>2909</v>
      </c>
      <c r="AH13" s="36">
        <v>0</v>
      </c>
      <c r="AI13" s="36">
        <v>0</v>
      </c>
      <c r="AJ13" s="36">
        <v>0</v>
      </c>
      <c r="AK13" s="36">
        <v>9050</v>
      </c>
      <c r="AL13" s="36">
        <v>9009</v>
      </c>
      <c r="AM13" s="36">
        <v>9032</v>
      </c>
      <c r="AN13" s="38">
        <v>46198.791379317132</v>
      </c>
      <c r="AO13" s="37" t="s">
        <v>158</v>
      </c>
      <c r="AP13" s="37" t="s">
        <v>157</v>
      </c>
      <c r="AQ13" s="37" t="s">
        <v>159</v>
      </c>
    </row>
  </sheetData>
  <mergeCells count="2">
    <mergeCell ref="A1:AO1"/>
    <mergeCell ref="A2:AO2"/>
  </mergeCells>
  <conditionalFormatting sqref="E5:E13">
    <cfRule type="expression" dxfId="46" priority="1">
      <formula>E5="Concluído"</formula>
    </cfRule>
    <cfRule type="expression" dxfId="45" priority="2">
      <formula>E5="Inválido"</formula>
    </cfRule>
  </conditionalFormatting>
  <conditionalFormatting sqref="AP5:AP13">
    <cfRule type="expression" dxfId="44" priority="3">
      <formula>AP5="Sim"</formula>
    </cfRule>
    <cfRule type="expression" dxfId="43" priority="4">
      <formula>AP5="Não"</formula>
    </cfRule>
  </conditionalFormatting>
  <dataValidations count="3">
    <dataValidation type="list" sqref="E5:E13" xr:uid="{00000000-0002-0000-0200-000000000000}">
      <formula1>"Pendente,Em andamento,Concluído,Inválido"</formula1>
    </dataValidation>
    <dataValidation type="list" sqref="AE5:AE13" xr:uid="{00000000-0002-0000-0200-000001000000}">
      <formula1>"Sim,Não"</formula1>
    </dataValidation>
    <dataValidation type="list" sqref="AP5:AP13" xr:uid="{00000000-0002-0000-0200-000002000000}">
      <formula1>"Sim,Não,Revisar"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9"/>
  <sheetViews>
    <sheetView workbookViewId="0">
      <selection sqref="A1:P1"/>
    </sheetView>
  </sheetViews>
  <sheetFormatPr defaultRowHeight="13.8"/>
  <cols>
    <col min="1" max="1" width="16" customWidth="1"/>
    <col min="2" max="2" width="10" customWidth="1"/>
    <col min="3" max="3" width="12" customWidth="1"/>
    <col min="4" max="4" width="10" customWidth="1"/>
    <col min="5" max="5" width="24" customWidth="1"/>
    <col min="6" max="10" width="17" customWidth="1"/>
    <col min="11" max="14" width="18" customWidth="1"/>
    <col min="15" max="15" width="13" customWidth="1"/>
    <col min="16" max="16" width="32" customWidth="1"/>
  </cols>
  <sheetData>
    <row r="1" spans="1:16" ht="21">
      <c r="A1" s="41" t="s">
        <v>168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spans="1:16">
      <c r="A2" s="43" t="s">
        <v>169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</row>
    <row r="3" spans="1:1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26.4">
      <c r="A4" s="6" t="s">
        <v>113</v>
      </c>
      <c r="B4" s="6" t="s">
        <v>114</v>
      </c>
      <c r="C4" s="6" t="s">
        <v>14</v>
      </c>
      <c r="D4" s="6" t="s">
        <v>115</v>
      </c>
      <c r="E4" s="6" t="s">
        <v>170</v>
      </c>
      <c r="F4" s="6" t="s">
        <v>171</v>
      </c>
      <c r="G4" s="6" t="s">
        <v>172</v>
      </c>
      <c r="H4" s="6" t="s">
        <v>173</v>
      </c>
      <c r="I4" s="6" t="s">
        <v>174</v>
      </c>
      <c r="J4" s="6" t="s">
        <v>175</v>
      </c>
      <c r="K4" s="6" t="s">
        <v>176</v>
      </c>
      <c r="L4" s="6" t="s">
        <v>177</v>
      </c>
      <c r="M4" s="6" t="s">
        <v>178</v>
      </c>
      <c r="N4" s="6" t="s">
        <v>179</v>
      </c>
      <c r="O4" s="6" t="s">
        <v>180</v>
      </c>
      <c r="P4" s="6" t="s">
        <v>154</v>
      </c>
    </row>
    <row r="5" spans="1:16">
      <c r="A5" s="13" t="s">
        <v>155</v>
      </c>
      <c r="B5" s="13" t="s">
        <v>16</v>
      </c>
      <c r="C5" s="13" t="s">
        <v>17</v>
      </c>
      <c r="D5" s="13">
        <v>1</v>
      </c>
      <c r="E5" s="13" t="s">
        <v>181</v>
      </c>
      <c r="F5" s="15">
        <v>5.7807692307692307</v>
      </c>
      <c r="G5" s="15">
        <v>10.88</v>
      </c>
      <c r="H5" s="15">
        <v>89.780690307692311</v>
      </c>
      <c r="I5" s="15">
        <v>89.967821000000001</v>
      </c>
      <c r="J5" s="15">
        <v>1.0784615384615386</v>
      </c>
      <c r="K5" s="15">
        <v>1.141</v>
      </c>
      <c r="L5" s="15">
        <v>1.5599999999999998</v>
      </c>
      <c r="M5" s="15">
        <v>0</v>
      </c>
      <c r="N5" s="15">
        <v>0</v>
      </c>
      <c r="O5" s="15">
        <v>6</v>
      </c>
      <c r="P5" s="17" t="s">
        <v>182</v>
      </c>
    </row>
    <row r="6" spans="1:16">
      <c r="A6" s="13" t="s">
        <v>155</v>
      </c>
      <c r="B6" s="13" t="s">
        <v>16</v>
      </c>
      <c r="C6" s="13" t="s">
        <v>17</v>
      </c>
      <c r="D6" s="13">
        <v>1</v>
      </c>
      <c r="E6" s="13" t="s">
        <v>183</v>
      </c>
      <c r="F6" s="15">
        <v>3.3907692307692305</v>
      </c>
      <c r="G6" s="15">
        <v>6.36</v>
      </c>
      <c r="H6" s="15">
        <v>66.89027638461539</v>
      </c>
      <c r="I6" s="15">
        <v>67.161293000000001</v>
      </c>
      <c r="J6" s="15">
        <v>0.80076923076923079</v>
      </c>
      <c r="K6" s="15">
        <v>1.1897</v>
      </c>
      <c r="L6" s="15">
        <v>1.2136</v>
      </c>
      <c r="M6" s="15">
        <v>0</v>
      </c>
      <c r="N6" s="15">
        <v>0</v>
      </c>
      <c r="O6" s="15">
        <v>1</v>
      </c>
      <c r="P6" s="17" t="s">
        <v>182</v>
      </c>
    </row>
    <row r="7" spans="1:16">
      <c r="A7" s="13" t="s">
        <v>155</v>
      </c>
      <c r="B7" s="13" t="s">
        <v>16</v>
      </c>
      <c r="C7" s="13" t="s">
        <v>17</v>
      </c>
      <c r="D7" s="13">
        <v>1</v>
      </c>
      <c r="E7" s="13" t="s">
        <v>184</v>
      </c>
      <c r="F7" s="15">
        <v>4.4923076923076923</v>
      </c>
      <c r="G7" s="15">
        <v>9.77</v>
      </c>
      <c r="H7" s="15">
        <v>55.104282076923077</v>
      </c>
      <c r="I7" s="15">
        <v>56.654561000000001</v>
      </c>
      <c r="J7" s="15">
        <v>0.66230769230769237</v>
      </c>
      <c r="K7" s="15">
        <v>1.7845</v>
      </c>
      <c r="L7" s="15">
        <v>1.5573000000000001</v>
      </c>
      <c r="M7" s="15">
        <v>0.20000000000000284</v>
      </c>
      <c r="N7" s="15">
        <v>9.7140000000000004</v>
      </c>
      <c r="O7" s="15">
        <v>12</v>
      </c>
      <c r="P7" s="17" t="s">
        <v>182</v>
      </c>
    </row>
    <row r="8" spans="1:16">
      <c r="A8" s="13" t="s">
        <v>155</v>
      </c>
      <c r="B8" s="13" t="s">
        <v>16</v>
      </c>
      <c r="C8" s="13" t="s">
        <v>17</v>
      </c>
      <c r="D8" s="13">
        <v>1</v>
      </c>
      <c r="E8" s="13" t="s">
        <v>185</v>
      </c>
      <c r="F8" s="15">
        <v>46.945384615384619</v>
      </c>
      <c r="G8" s="15">
        <v>206.45</v>
      </c>
      <c r="H8" s="15">
        <v>164.67482753846153</v>
      </c>
      <c r="I8" s="15">
        <v>191.78455</v>
      </c>
      <c r="J8" s="15">
        <v>1.9769230769230768</v>
      </c>
      <c r="K8" s="15">
        <v>0.61980000000000002</v>
      </c>
      <c r="L8" s="15">
        <v>0.66479999999999995</v>
      </c>
      <c r="M8" s="15">
        <v>0</v>
      </c>
      <c r="N8" s="15">
        <v>4.0000000000000036E-3</v>
      </c>
      <c r="O8" s="15">
        <v>63</v>
      </c>
      <c r="P8" s="17" t="s">
        <v>182</v>
      </c>
    </row>
    <row r="9" spans="1:16">
      <c r="A9" s="13" t="s">
        <v>155</v>
      </c>
      <c r="B9" s="13" t="s">
        <v>16</v>
      </c>
      <c r="C9" s="13" t="s">
        <v>17</v>
      </c>
      <c r="D9" s="13">
        <v>1</v>
      </c>
      <c r="E9" s="13" t="s">
        <v>186</v>
      </c>
      <c r="F9" s="15">
        <v>7.0000000000000007E-2</v>
      </c>
      <c r="G9" s="15">
        <v>0.14000000000000001</v>
      </c>
      <c r="H9" s="15">
        <v>18.077449999999999</v>
      </c>
      <c r="I9" s="15">
        <v>18.077449999999999</v>
      </c>
      <c r="J9" s="15">
        <v>0.22</v>
      </c>
      <c r="K9" s="15">
        <v>0.15000000000000013</v>
      </c>
      <c r="L9" s="15">
        <v>9.4000000000000056E-3</v>
      </c>
      <c r="M9" s="15">
        <v>0</v>
      </c>
      <c r="N9" s="15">
        <v>2.0000000000000018E-2</v>
      </c>
      <c r="O9" s="15">
        <v>12</v>
      </c>
      <c r="P9" s="17" t="s">
        <v>182</v>
      </c>
    </row>
    <row r="10" spans="1:16">
      <c r="A10" s="13" t="s">
        <v>160</v>
      </c>
      <c r="B10" s="13" t="s">
        <v>16</v>
      </c>
      <c r="C10" s="13" t="s">
        <v>17</v>
      </c>
      <c r="D10" s="13">
        <v>2</v>
      </c>
      <c r="E10" s="13" t="s">
        <v>181</v>
      </c>
      <c r="F10" s="15">
        <v>6.069230769230769</v>
      </c>
      <c r="G10" s="15">
        <v>10.64</v>
      </c>
      <c r="H10" s="15">
        <v>93.910466461538462</v>
      </c>
      <c r="I10" s="15">
        <v>94.109696</v>
      </c>
      <c r="J10" s="15">
        <v>1.1299999999999999</v>
      </c>
      <c r="K10" s="15">
        <v>1.1000000000000014</v>
      </c>
      <c r="L10" s="15">
        <v>1.5</v>
      </c>
      <c r="M10" s="15">
        <v>0</v>
      </c>
      <c r="N10" s="15">
        <v>0</v>
      </c>
      <c r="O10" s="15">
        <v>7</v>
      </c>
      <c r="P10" s="17" t="s">
        <v>182</v>
      </c>
    </row>
    <row r="11" spans="1:16">
      <c r="A11" s="13" t="s">
        <v>160</v>
      </c>
      <c r="B11" s="13" t="s">
        <v>16</v>
      </c>
      <c r="C11" s="13" t="s">
        <v>17</v>
      </c>
      <c r="D11" s="13">
        <v>2</v>
      </c>
      <c r="E11" s="13" t="s">
        <v>183</v>
      </c>
      <c r="F11" s="15">
        <v>3.7861538461538462</v>
      </c>
      <c r="G11" s="15">
        <v>7.04</v>
      </c>
      <c r="H11" s="15">
        <v>67.203236000000004</v>
      </c>
      <c r="I11" s="15">
        <v>67.203236000000004</v>
      </c>
      <c r="J11" s="15">
        <v>0.81</v>
      </c>
      <c r="K11" s="15">
        <v>1.1999999999999993</v>
      </c>
      <c r="L11" s="15">
        <v>1.1999999999999993</v>
      </c>
      <c r="M11" s="15">
        <v>0</v>
      </c>
      <c r="N11" s="15">
        <v>0</v>
      </c>
      <c r="O11" s="15">
        <v>1</v>
      </c>
      <c r="P11" s="17" t="s">
        <v>182</v>
      </c>
    </row>
    <row r="12" spans="1:16">
      <c r="A12" s="13" t="s">
        <v>160</v>
      </c>
      <c r="B12" s="13" t="s">
        <v>16</v>
      </c>
      <c r="C12" s="13" t="s">
        <v>17</v>
      </c>
      <c r="D12" s="13">
        <v>2</v>
      </c>
      <c r="E12" s="13" t="s">
        <v>184</v>
      </c>
      <c r="F12" s="15">
        <v>3.7853846153846153</v>
      </c>
      <c r="G12" s="15">
        <v>9.02</v>
      </c>
      <c r="H12" s="15">
        <v>63.153312538461535</v>
      </c>
      <c r="I12" s="15">
        <v>63.407390999999997</v>
      </c>
      <c r="J12" s="15">
        <v>0.76</v>
      </c>
      <c r="K12" s="15">
        <v>1.8000000000000007</v>
      </c>
      <c r="L12" s="15">
        <v>1.5</v>
      </c>
      <c r="M12" s="15">
        <v>0</v>
      </c>
      <c r="N12" s="15">
        <v>10</v>
      </c>
      <c r="O12" s="15">
        <v>15</v>
      </c>
      <c r="P12" s="17" t="s">
        <v>182</v>
      </c>
    </row>
    <row r="13" spans="1:16">
      <c r="A13" s="13" t="s">
        <v>160</v>
      </c>
      <c r="B13" s="13" t="s">
        <v>16</v>
      </c>
      <c r="C13" s="13" t="s">
        <v>17</v>
      </c>
      <c r="D13" s="13">
        <v>2</v>
      </c>
      <c r="E13" s="13" t="s">
        <v>185</v>
      </c>
      <c r="F13" s="15">
        <v>40.82076923076923</v>
      </c>
      <c r="G13" s="15">
        <v>203.84</v>
      </c>
      <c r="H13" s="15">
        <v>167.19141030769231</v>
      </c>
      <c r="I13" s="15">
        <v>208.142336</v>
      </c>
      <c r="J13" s="15">
        <v>2.0092307692307694</v>
      </c>
      <c r="K13" s="15">
        <v>0.60999999999999943</v>
      </c>
      <c r="L13" s="15">
        <v>0.65000000000000036</v>
      </c>
      <c r="M13" s="15">
        <v>0</v>
      </c>
      <c r="N13" s="15">
        <v>4.0000000000000036E-3</v>
      </c>
      <c r="O13" s="15">
        <v>63</v>
      </c>
      <c r="P13" s="17" t="s">
        <v>182</v>
      </c>
    </row>
    <row r="14" spans="1:16">
      <c r="A14" s="13" t="s">
        <v>160</v>
      </c>
      <c r="B14" s="13" t="s">
        <v>16</v>
      </c>
      <c r="C14" s="13" t="s">
        <v>17</v>
      </c>
      <c r="D14" s="13">
        <v>2</v>
      </c>
      <c r="E14" s="13" t="s">
        <v>186</v>
      </c>
      <c r="F14" s="15">
        <v>2.230769230769231E-2</v>
      </c>
      <c r="G14" s="15">
        <v>0.14000000000000001</v>
      </c>
      <c r="H14" s="15">
        <v>19.070371153846153</v>
      </c>
      <c r="I14" s="15">
        <v>19.084083</v>
      </c>
      <c r="J14" s="15">
        <v>0.23</v>
      </c>
      <c r="K14" s="15">
        <v>0.14999999999999991</v>
      </c>
      <c r="L14" s="15">
        <v>9.9999999999999534E-3</v>
      </c>
      <c r="M14" s="15">
        <v>0</v>
      </c>
      <c r="N14" s="15">
        <v>1.6000000000000014E-2</v>
      </c>
      <c r="O14" s="15">
        <v>12</v>
      </c>
      <c r="P14" s="17" t="s">
        <v>182</v>
      </c>
    </row>
    <row r="15" spans="1:16">
      <c r="A15" s="13" t="s">
        <v>161</v>
      </c>
      <c r="B15" s="13" t="s">
        <v>16</v>
      </c>
      <c r="C15" s="13" t="s">
        <v>17</v>
      </c>
      <c r="D15" s="13">
        <v>3</v>
      </c>
      <c r="E15" s="13" t="s">
        <v>181</v>
      </c>
      <c r="F15" s="15">
        <v>5.5746153846153845</v>
      </c>
      <c r="G15" s="15">
        <v>10.85</v>
      </c>
      <c r="H15" s="15">
        <v>94.290373692307696</v>
      </c>
      <c r="I15" s="15">
        <v>94.791269999999997</v>
      </c>
      <c r="J15" s="15">
        <v>1.1307692307692307</v>
      </c>
      <c r="K15" s="15">
        <v>1.1000000000000014</v>
      </c>
      <c r="L15" s="15">
        <v>1.6000000000000014</v>
      </c>
      <c r="M15" s="15">
        <v>0</v>
      </c>
      <c r="N15" s="15">
        <v>0</v>
      </c>
      <c r="O15" s="15">
        <v>7</v>
      </c>
      <c r="P15" s="17" t="s">
        <v>182</v>
      </c>
    </row>
    <row r="16" spans="1:16">
      <c r="A16" s="13" t="s">
        <v>161</v>
      </c>
      <c r="B16" s="13" t="s">
        <v>16</v>
      </c>
      <c r="C16" s="13" t="s">
        <v>17</v>
      </c>
      <c r="D16" s="13">
        <v>3</v>
      </c>
      <c r="E16" s="13" t="s">
        <v>183</v>
      </c>
      <c r="F16" s="15">
        <v>3.4184615384615382</v>
      </c>
      <c r="G16" s="15">
        <v>7.26</v>
      </c>
      <c r="H16" s="15">
        <v>67.223400923076923</v>
      </c>
      <c r="I16" s="15">
        <v>67.465379999999996</v>
      </c>
      <c r="J16" s="15">
        <v>0.81</v>
      </c>
      <c r="K16" s="15">
        <v>1.1999999999999993</v>
      </c>
      <c r="L16" s="15">
        <v>1.1999999999999993</v>
      </c>
      <c r="M16" s="15">
        <v>0</v>
      </c>
      <c r="N16" s="15">
        <v>0</v>
      </c>
      <c r="O16" s="15">
        <v>1</v>
      </c>
      <c r="P16" s="17" t="s">
        <v>182</v>
      </c>
    </row>
    <row r="17" spans="1:16">
      <c r="A17" s="13" t="s">
        <v>161</v>
      </c>
      <c r="B17" s="13" t="s">
        <v>16</v>
      </c>
      <c r="C17" s="13" t="s">
        <v>17</v>
      </c>
      <c r="D17" s="13">
        <v>3</v>
      </c>
      <c r="E17" s="13" t="s">
        <v>184</v>
      </c>
      <c r="F17" s="15">
        <v>3.7338461538461538</v>
      </c>
      <c r="G17" s="15">
        <v>9.85</v>
      </c>
      <c r="H17" s="15">
        <v>63.352542076923079</v>
      </c>
      <c r="I17" s="15">
        <v>63.375933000000003</v>
      </c>
      <c r="J17" s="15">
        <v>0.76</v>
      </c>
      <c r="K17" s="15">
        <v>1.7999999999999972</v>
      </c>
      <c r="L17" s="15">
        <v>1.6000000000000014</v>
      </c>
      <c r="M17" s="15">
        <v>0</v>
      </c>
      <c r="N17" s="15">
        <v>9</v>
      </c>
      <c r="O17" s="15">
        <v>15</v>
      </c>
      <c r="P17" s="17" t="s">
        <v>182</v>
      </c>
    </row>
    <row r="18" spans="1:16">
      <c r="A18" s="13" t="s">
        <v>161</v>
      </c>
      <c r="B18" s="13" t="s">
        <v>16</v>
      </c>
      <c r="C18" s="13" t="s">
        <v>17</v>
      </c>
      <c r="D18" s="13">
        <v>3</v>
      </c>
      <c r="E18" s="13" t="s">
        <v>185</v>
      </c>
      <c r="F18" s="15">
        <v>42.049230769230768</v>
      </c>
      <c r="G18" s="15">
        <v>204.85</v>
      </c>
      <c r="H18" s="15">
        <v>167.93347953846154</v>
      </c>
      <c r="I18" s="15">
        <v>211.392922</v>
      </c>
      <c r="J18" s="15">
        <v>2.0146153846153845</v>
      </c>
      <c r="K18" s="15">
        <v>0.69999999999999929</v>
      </c>
      <c r="L18" s="15">
        <v>0.69999999999999929</v>
      </c>
      <c r="M18" s="15">
        <v>0</v>
      </c>
      <c r="N18" s="15">
        <v>0</v>
      </c>
      <c r="O18" s="15">
        <v>63</v>
      </c>
      <c r="P18" s="17" t="s">
        <v>182</v>
      </c>
    </row>
    <row r="19" spans="1:16">
      <c r="A19" s="13" t="s">
        <v>161</v>
      </c>
      <c r="B19" s="13" t="s">
        <v>16</v>
      </c>
      <c r="C19" s="13" t="s">
        <v>17</v>
      </c>
      <c r="D19" s="13">
        <v>3</v>
      </c>
      <c r="E19" s="13" t="s">
        <v>186</v>
      </c>
      <c r="F19" s="15">
        <v>0.10769230769230768</v>
      </c>
      <c r="G19" s="15">
        <v>0.71</v>
      </c>
      <c r="H19" s="15">
        <v>19.398655999999999</v>
      </c>
      <c r="I19" s="15">
        <v>19.398655999999999</v>
      </c>
      <c r="J19" s="15">
        <v>0.23</v>
      </c>
      <c r="K19" s="15">
        <v>0.14999999999999947</v>
      </c>
      <c r="L19" s="15">
        <v>9.000000000000008E-3</v>
      </c>
      <c r="M19" s="15">
        <v>0</v>
      </c>
      <c r="N19" s="15">
        <v>2.0000000000000018E-2</v>
      </c>
      <c r="O19" s="15">
        <v>12</v>
      </c>
      <c r="P19" s="17" t="s">
        <v>182</v>
      </c>
    </row>
    <row r="20" spans="1:16">
      <c r="A20" s="13" t="s">
        <v>162</v>
      </c>
      <c r="B20" s="13" t="s">
        <v>19</v>
      </c>
      <c r="C20" s="13" t="s">
        <v>20</v>
      </c>
      <c r="D20" s="13">
        <v>1</v>
      </c>
      <c r="E20" s="13" t="s">
        <v>181</v>
      </c>
      <c r="F20" s="15">
        <v>19.65642857142857</v>
      </c>
      <c r="G20" s="15">
        <v>36.83</v>
      </c>
      <c r="H20" s="15">
        <v>91.27704285714286</v>
      </c>
      <c r="I20" s="15">
        <v>91.718942999999996</v>
      </c>
      <c r="J20" s="15">
        <v>1.0971428571428572</v>
      </c>
      <c r="K20" s="15">
        <v>4.51</v>
      </c>
      <c r="L20" s="15">
        <v>5.26</v>
      </c>
      <c r="M20" s="15">
        <v>0</v>
      </c>
      <c r="N20" s="15">
        <v>0</v>
      </c>
      <c r="O20" s="15">
        <v>8</v>
      </c>
      <c r="P20" s="17" t="s">
        <v>187</v>
      </c>
    </row>
    <row r="21" spans="1:16">
      <c r="A21" s="13" t="s">
        <v>162</v>
      </c>
      <c r="B21" s="13" t="s">
        <v>19</v>
      </c>
      <c r="C21" s="13" t="s">
        <v>20</v>
      </c>
      <c r="D21" s="13">
        <v>1</v>
      </c>
      <c r="E21" s="13" t="s">
        <v>183</v>
      </c>
      <c r="F21" s="15">
        <v>13.065</v>
      </c>
      <c r="G21" s="15">
        <v>24.22</v>
      </c>
      <c r="H21" s="15">
        <v>67.142568142857144</v>
      </c>
      <c r="I21" s="15">
        <v>67.371008000000003</v>
      </c>
      <c r="J21" s="15">
        <v>0.81</v>
      </c>
      <c r="K21" s="15">
        <v>4.7</v>
      </c>
      <c r="L21" s="15">
        <v>4.7299999999999995</v>
      </c>
      <c r="M21" s="15">
        <v>0</v>
      </c>
      <c r="N21" s="15">
        <v>0</v>
      </c>
      <c r="O21" s="15">
        <v>1</v>
      </c>
      <c r="P21" s="17" t="s">
        <v>187</v>
      </c>
    </row>
    <row r="22" spans="1:16">
      <c r="A22" s="13" t="s">
        <v>162</v>
      </c>
      <c r="B22" s="13" t="s">
        <v>19</v>
      </c>
      <c r="C22" s="13" t="s">
        <v>20</v>
      </c>
      <c r="D22" s="13">
        <v>1</v>
      </c>
      <c r="E22" s="13" t="s">
        <v>184</v>
      </c>
      <c r="F22" s="15">
        <v>9.4664285714285707</v>
      </c>
      <c r="G22" s="15">
        <v>19.73</v>
      </c>
      <c r="H22" s="15">
        <v>55.734061214285717</v>
      </c>
      <c r="I22" s="15">
        <v>57.011077</v>
      </c>
      <c r="J22" s="15">
        <v>0.66714285714285715</v>
      </c>
      <c r="K22" s="15">
        <v>6.56</v>
      </c>
      <c r="L22" s="15">
        <v>6.25</v>
      </c>
      <c r="M22" s="15">
        <v>0</v>
      </c>
      <c r="N22" s="15">
        <v>37.6</v>
      </c>
      <c r="O22" s="15">
        <v>12</v>
      </c>
      <c r="P22" s="17" t="s">
        <v>187</v>
      </c>
    </row>
    <row r="23" spans="1:16">
      <c r="A23" s="13" t="s">
        <v>162</v>
      </c>
      <c r="B23" s="13" t="s">
        <v>19</v>
      </c>
      <c r="C23" s="13" t="s">
        <v>20</v>
      </c>
      <c r="D23" s="13">
        <v>1</v>
      </c>
      <c r="E23" s="13" t="s">
        <v>185</v>
      </c>
      <c r="F23" s="15">
        <v>39.287142857142854</v>
      </c>
      <c r="G23" s="15">
        <v>200.14</v>
      </c>
      <c r="H23" s="15">
        <v>172.02638264285713</v>
      </c>
      <c r="I23" s="15">
        <v>244.52792299999999</v>
      </c>
      <c r="J23" s="15">
        <v>2.0642857142857141</v>
      </c>
      <c r="K23" s="15">
        <v>2.468</v>
      </c>
      <c r="L23" s="15">
        <v>2.5110000000000001</v>
      </c>
      <c r="M23" s="15">
        <v>0</v>
      </c>
      <c r="N23" s="15">
        <v>4.9999999999999767E-3</v>
      </c>
      <c r="O23" s="15">
        <v>63</v>
      </c>
      <c r="P23" s="17" t="s">
        <v>187</v>
      </c>
    </row>
    <row r="24" spans="1:16">
      <c r="A24" s="13" t="s">
        <v>162</v>
      </c>
      <c r="B24" s="13" t="s">
        <v>19</v>
      </c>
      <c r="C24" s="13" t="s">
        <v>20</v>
      </c>
      <c r="D24" s="13">
        <v>1</v>
      </c>
      <c r="E24" s="13" t="s">
        <v>186</v>
      </c>
      <c r="F24" s="15">
        <v>8.8571428571428579E-2</v>
      </c>
      <c r="G24" s="15">
        <v>0.28000000000000003</v>
      </c>
      <c r="H24" s="15">
        <v>18.438459999999999</v>
      </c>
      <c r="I24" s="15">
        <v>18.454937999999999</v>
      </c>
      <c r="J24" s="15">
        <v>0.22</v>
      </c>
      <c r="K24" s="15">
        <v>0.16999999999999993</v>
      </c>
      <c r="L24" s="15">
        <v>1.0000000000000009E-2</v>
      </c>
      <c r="M24" s="15">
        <v>0</v>
      </c>
      <c r="N24" s="15">
        <v>2.4000000000000021E-2</v>
      </c>
      <c r="O24" s="15">
        <v>12</v>
      </c>
      <c r="P24" s="17" t="s">
        <v>187</v>
      </c>
    </row>
    <row r="25" spans="1:16">
      <c r="A25" s="13" t="s">
        <v>163</v>
      </c>
      <c r="B25" s="13" t="s">
        <v>19</v>
      </c>
      <c r="C25" s="13" t="s">
        <v>20</v>
      </c>
      <c r="D25" s="13">
        <v>2</v>
      </c>
      <c r="E25" s="13" t="s">
        <v>181</v>
      </c>
      <c r="F25" s="15">
        <v>19.454285714285714</v>
      </c>
      <c r="G25" s="15">
        <v>35.47</v>
      </c>
      <c r="H25" s="15">
        <v>93.998097571428573</v>
      </c>
      <c r="I25" s="15">
        <v>94.046780999999996</v>
      </c>
      <c r="J25" s="15">
        <v>1.1299999999999999</v>
      </c>
      <c r="K25" s="15">
        <v>4.5</v>
      </c>
      <c r="L25" s="15">
        <v>6</v>
      </c>
      <c r="M25" s="15">
        <v>0</v>
      </c>
      <c r="N25" s="15">
        <v>0</v>
      </c>
      <c r="O25" s="15">
        <v>7</v>
      </c>
      <c r="P25" s="17" t="s">
        <v>187</v>
      </c>
    </row>
    <row r="26" spans="1:16">
      <c r="A26" s="13" t="s">
        <v>163</v>
      </c>
      <c r="B26" s="13" t="s">
        <v>19</v>
      </c>
      <c r="C26" s="13" t="s">
        <v>20</v>
      </c>
      <c r="D26" s="13">
        <v>2</v>
      </c>
      <c r="E26" s="13" t="s">
        <v>183</v>
      </c>
      <c r="F26" s="15">
        <v>12.815</v>
      </c>
      <c r="G26" s="15">
        <v>23.99</v>
      </c>
      <c r="H26" s="15">
        <v>67.203985000000003</v>
      </c>
      <c r="I26" s="15">
        <v>67.213722000000004</v>
      </c>
      <c r="J26" s="15">
        <v>0.81</v>
      </c>
      <c r="K26" s="15">
        <v>4.7000000000000028</v>
      </c>
      <c r="L26" s="15">
        <v>4.8000000000000007</v>
      </c>
      <c r="M26" s="15">
        <v>0</v>
      </c>
      <c r="N26" s="15">
        <v>0</v>
      </c>
      <c r="O26" s="15">
        <v>1</v>
      </c>
      <c r="P26" s="17" t="s">
        <v>187</v>
      </c>
    </row>
    <row r="27" spans="1:16">
      <c r="A27" s="13" t="s">
        <v>163</v>
      </c>
      <c r="B27" s="13" t="s">
        <v>19</v>
      </c>
      <c r="C27" s="13" t="s">
        <v>20</v>
      </c>
      <c r="D27" s="13">
        <v>2</v>
      </c>
      <c r="E27" s="13" t="s">
        <v>184</v>
      </c>
      <c r="F27" s="15">
        <v>9.7542857142857144</v>
      </c>
      <c r="G27" s="15">
        <v>22.48</v>
      </c>
      <c r="H27" s="15">
        <v>63.171461071428567</v>
      </c>
      <c r="I27" s="15">
        <v>63.396904999999997</v>
      </c>
      <c r="J27" s="15">
        <v>0.76</v>
      </c>
      <c r="K27" s="15">
        <v>7.1999999999999993</v>
      </c>
      <c r="L27" s="15">
        <v>6.3000000000000007</v>
      </c>
      <c r="M27" s="15">
        <v>0</v>
      </c>
      <c r="N27" s="15">
        <v>37</v>
      </c>
      <c r="O27" s="15">
        <v>15</v>
      </c>
      <c r="P27" s="17" t="s">
        <v>187</v>
      </c>
    </row>
    <row r="28" spans="1:16">
      <c r="A28" s="13" t="s">
        <v>163</v>
      </c>
      <c r="B28" s="13" t="s">
        <v>19</v>
      </c>
      <c r="C28" s="13" t="s">
        <v>20</v>
      </c>
      <c r="D28" s="13">
        <v>2</v>
      </c>
      <c r="E28" s="13" t="s">
        <v>185</v>
      </c>
      <c r="F28" s="15">
        <v>71.837142857142865</v>
      </c>
      <c r="G28" s="15">
        <v>213.8</v>
      </c>
      <c r="H28" s="15">
        <v>167.41264821428572</v>
      </c>
      <c r="I28" s="15">
        <v>211.91721000000001</v>
      </c>
      <c r="J28" s="15">
        <v>2.012142857142857</v>
      </c>
      <c r="K28" s="15">
        <v>2.4899999999999984</v>
      </c>
      <c r="L28" s="15">
        <v>2.4900000000000002</v>
      </c>
      <c r="M28" s="15">
        <v>0</v>
      </c>
      <c r="N28" s="15">
        <v>0</v>
      </c>
      <c r="O28" s="15">
        <v>63</v>
      </c>
      <c r="P28" s="17" t="s">
        <v>187</v>
      </c>
    </row>
    <row r="29" spans="1:16">
      <c r="A29" s="13" t="s">
        <v>163</v>
      </c>
      <c r="B29" s="13" t="s">
        <v>19</v>
      </c>
      <c r="C29" s="13" t="s">
        <v>20</v>
      </c>
      <c r="D29" s="13">
        <v>2</v>
      </c>
      <c r="E29" s="13" t="s">
        <v>186</v>
      </c>
      <c r="F29" s="15">
        <v>0.12928571428571428</v>
      </c>
      <c r="G29" s="15">
        <v>1.24</v>
      </c>
      <c r="H29" s="15">
        <v>19.389668</v>
      </c>
      <c r="I29" s="15">
        <v>19.409141999999999</v>
      </c>
      <c r="J29" s="15">
        <v>0.23</v>
      </c>
      <c r="K29" s="15">
        <v>0.16999999999999993</v>
      </c>
      <c r="L29" s="15">
        <v>1.0999999999999954E-2</v>
      </c>
      <c r="M29" s="15">
        <v>0</v>
      </c>
      <c r="N29" s="15">
        <v>2.1000000000000019E-2</v>
      </c>
      <c r="O29" s="15">
        <v>12</v>
      </c>
      <c r="P29" s="17" t="s">
        <v>187</v>
      </c>
    </row>
    <row r="30" spans="1:16">
      <c r="A30" s="13" t="s">
        <v>164</v>
      </c>
      <c r="B30" s="13" t="s">
        <v>19</v>
      </c>
      <c r="C30" s="13" t="s">
        <v>20</v>
      </c>
      <c r="D30" s="13">
        <v>3</v>
      </c>
      <c r="E30" s="13" t="s">
        <v>181</v>
      </c>
      <c r="F30" s="15">
        <v>19.11</v>
      </c>
      <c r="G30" s="15">
        <v>36.19</v>
      </c>
      <c r="H30" s="15">
        <v>94.392811428571434</v>
      </c>
      <c r="I30" s="15">
        <v>94.843699000000001</v>
      </c>
      <c r="J30" s="15">
        <v>1.1328571428571428</v>
      </c>
      <c r="K30" s="15">
        <v>4.5</v>
      </c>
      <c r="L30" s="15">
        <v>6</v>
      </c>
      <c r="M30" s="15">
        <v>0</v>
      </c>
      <c r="N30" s="15">
        <v>0</v>
      </c>
      <c r="O30" s="15">
        <v>7</v>
      </c>
      <c r="P30" s="17" t="s">
        <v>187</v>
      </c>
    </row>
    <row r="31" spans="1:16">
      <c r="A31" s="13" t="s">
        <v>164</v>
      </c>
      <c r="B31" s="13" t="s">
        <v>19</v>
      </c>
      <c r="C31" s="13" t="s">
        <v>20</v>
      </c>
      <c r="D31" s="13">
        <v>3</v>
      </c>
      <c r="E31" s="13" t="s">
        <v>183</v>
      </c>
      <c r="F31" s="15">
        <v>12.604285714285714</v>
      </c>
      <c r="G31" s="15">
        <v>24.45</v>
      </c>
      <c r="H31" s="15">
        <v>67.221960571428582</v>
      </c>
      <c r="I31" s="15">
        <v>67.465379999999996</v>
      </c>
      <c r="J31" s="15">
        <v>0.81</v>
      </c>
      <c r="K31" s="15">
        <v>4.6999999999999993</v>
      </c>
      <c r="L31" s="15">
        <v>4.8000000000000007</v>
      </c>
      <c r="M31" s="15">
        <v>0</v>
      </c>
      <c r="N31" s="15">
        <v>0</v>
      </c>
      <c r="O31" s="15">
        <v>1</v>
      </c>
      <c r="P31" s="17" t="s">
        <v>187</v>
      </c>
    </row>
    <row r="32" spans="1:16">
      <c r="A32" s="13" t="s">
        <v>164</v>
      </c>
      <c r="B32" s="13" t="s">
        <v>19</v>
      </c>
      <c r="C32" s="13" t="s">
        <v>20</v>
      </c>
      <c r="D32" s="13">
        <v>3</v>
      </c>
      <c r="E32" s="13" t="s">
        <v>184</v>
      </c>
      <c r="F32" s="15">
        <v>10.154285714285715</v>
      </c>
      <c r="G32" s="15">
        <v>22.86</v>
      </c>
      <c r="H32" s="15">
        <v>63.406641571428572</v>
      </c>
      <c r="I32" s="15">
        <v>63.438848</v>
      </c>
      <c r="J32" s="15">
        <v>0.76</v>
      </c>
      <c r="K32" s="15">
        <v>7.2000000000000028</v>
      </c>
      <c r="L32" s="15">
        <v>6.2000000000000028</v>
      </c>
      <c r="M32" s="15">
        <v>0</v>
      </c>
      <c r="N32" s="15">
        <v>37</v>
      </c>
      <c r="O32" s="15">
        <v>15</v>
      </c>
      <c r="P32" s="17" t="s">
        <v>187</v>
      </c>
    </row>
    <row r="33" spans="1:16">
      <c r="A33" s="13" t="s">
        <v>164</v>
      </c>
      <c r="B33" s="13" t="s">
        <v>19</v>
      </c>
      <c r="C33" s="13" t="s">
        <v>20</v>
      </c>
      <c r="D33" s="13">
        <v>3</v>
      </c>
      <c r="E33" s="13" t="s">
        <v>185</v>
      </c>
      <c r="F33" s="15">
        <v>40.212857142857146</v>
      </c>
      <c r="G33" s="15">
        <v>161.83000000000001</v>
      </c>
      <c r="H33" s="15">
        <v>177.74861157142857</v>
      </c>
      <c r="I33" s="15">
        <v>245.26192599999999</v>
      </c>
      <c r="J33" s="15">
        <v>2.1342857142857143</v>
      </c>
      <c r="K33" s="15">
        <v>2.3999999999999986</v>
      </c>
      <c r="L33" s="15">
        <v>2.5</v>
      </c>
      <c r="M33" s="15">
        <v>0</v>
      </c>
      <c r="N33" s="15">
        <v>0</v>
      </c>
      <c r="O33" s="15">
        <v>63</v>
      </c>
      <c r="P33" s="17" t="s">
        <v>187</v>
      </c>
    </row>
    <row r="34" spans="1:16">
      <c r="A34" s="13" t="s">
        <v>164</v>
      </c>
      <c r="B34" s="13" t="s">
        <v>19</v>
      </c>
      <c r="C34" s="13" t="s">
        <v>20</v>
      </c>
      <c r="D34" s="13">
        <v>3</v>
      </c>
      <c r="E34" s="13" t="s">
        <v>186</v>
      </c>
      <c r="F34" s="15">
        <v>4.5714285714285714E-2</v>
      </c>
      <c r="G34" s="15">
        <v>0.13</v>
      </c>
      <c r="H34" s="15">
        <v>19.487784999999999</v>
      </c>
      <c r="I34" s="15">
        <v>19.493027999999999</v>
      </c>
      <c r="J34" s="15">
        <v>0.23</v>
      </c>
      <c r="K34" s="15">
        <v>0.16000000000000014</v>
      </c>
      <c r="L34" s="15">
        <v>1.0000000000000009E-2</v>
      </c>
      <c r="M34" s="15">
        <v>0</v>
      </c>
      <c r="N34" s="15">
        <v>3.0000000000000027E-2</v>
      </c>
      <c r="O34" s="15">
        <v>12</v>
      </c>
      <c r="P34" s="17" t="s">
        <v>187</v>
      </c>
    </row>
    <row r="35" spans="1:16">
      <c r="A35" s="13" t="s">
        <v>165</v>
      </c>
      <c r="B35" s="13" t="s">
        <v>22</v>
      </c>
      <c r="C35" s="13" t="s">
        <v>23</v>
      </c>
      <c r="D35" s="13">
        <v>1</v>
      </c>
      <c r="E35" s="13" t="s">
        <v>181</v>
      </c>
      <c r="F35" s="15">
        <v>38.716428571428573</v>
      </c>
      <c r="G35" s="15">
        <v>83.04</v>
      </c>
      <c r="H35" s="15">
        <v>92.500880785714287</v>
      </c>
      <c r="I35" s="15">
        <v>94.959042999999994</v>
      </c>
      <c r="J35" s="15">
        <v>1.1107142857142858</v>
      </c>
      <c r="K35" s="15">
        <v>9.0300000000000011</v>
      </c>
      <c r="L35" s="15">
        <v>10.3</v>
      </c>
      <c r="M35" s="15">
        <v>0</v>
      </c>
      <c r="N35" s="15">
        <v>0</v>
      </c>
      <c r="O35" s="15">
        <v>18</v>
      </c>
      <c r="P35" s="17" t="s">
        <v>187</v>
      </c>
    </row>
    <row r="36" spans="1:16">
      <c r="A36" s="13" t="s">
        <v>165</v>
      </c>
      <c r="B36" s="13" t="s">
        <v>22</v>
      </c>
      <c r="C36" s="13" t="s">
        <v>23</v>
      </c>
      <c r="D36" s="13">
        <v>1</v>
      </c>
      <c r="E36" s="13" t="s">
        <v>183</v>
      </c>
      <c r="F36" s="15">
        <v>25.143571428571427</v>
      </c>
      <c r="G36" s="15">
        <v>46.53</v>
      </c>
      <c r="H36" s="15">
        <v>67.193499000000003</v>
      </c>
      <c r="I36" s="15">
        <v>67.203236000000004</v>
      </c>
      <c r="J36" s="15">
        <v>0.81</v>
      </c>
      <c r="K36" s="15">
        <v>9.2799999999999994</v>
      </c>
      <c r="L36" s="15">
        <v>9.3300000000000018</v>
      </c>
      <c r="M36" s="15">
        <v>0</v>
      </c>
      <c r="N36" s="15">
        <v>0</v>
      </c>
      <c r="O36" s="15">
        <v>1</v>
      </c>
      <c r="P36" s="17" t="s">
        <v>187</v>
      </c>
    </row>
    <row r="37" spans="1:16">
      <c r="A37" s="13" t="s">
        <v>165</v>
      </c>
      <c r="B37" s="13" t="s">
        <v>22</v>
      </c>
      <c r="C37" s="13" t="s">
        <v>23</v>
      </c>
      <c r="D37" s="13">
        <v>1</v>
      </c>
      <c r="E37" s="13" t="s">
        <v>184</v>
      </c>
      <c r="F37" s="15">
        <v>17.877857142857142</v>
      </c>
      <c r="G37" s="15">
        <v>41.93</v>
      </c>
      <c r="H37" s="15">
        <v>59.320191285714287</v>
      </c>
      <c r="I37" s="15">
        <v>72.645345000000006</v>
      </c>
      <c r="J37" s="15">
        <v>0.71214285714285719</v>
      </c>
      <c r="K37" s="15">
        <v>12.969999999999999</v>
      </c>
      <c r="L37" s="15">
        <v>12.499999999999998</v>
      </c>
      <c r="M37" s="15">
        <v>0</v>
      </c>
      <c r="N37" s="15">
        <v>74.5</v>
      </c>
      <c r="O37" s="15">
        <v>21</v>
      </c>
      <c r="P37" s="17" t="s">
        <v>187</v>
      </c>
    </row>
    <row r="38" spans="1:16">
      <c r="A38" s="13" t="s">
        <v>165</v>
      </c>
      <c r="B38" s="13" t="s">
        <v>22</v>
      </c>
      <c r="C38" s="13" t="s">
        <v>23</v>
      </c>
      <c r="D38" s="13">
        <v>1</v>
      </c>
      <c r="E38" s="13" t="s">
        <v>185</v>
      </c>
      <c r="F38" s="15">
        <v>66.69</v>
      </c>
      <c r="G38" s="15">
        <v>226.33</v>
      </c>
      <c r="H38" s="15">
        <v>169.01547142857143</v>
      </c>
      <c r="I38" s="15">
        <v>243.16477399999999</v>
      </c>
      <c r="J38" s="15">
        <v>2.0292857142857144</v>
      </c>
      <c r="K38" s="15">
        <v>4.9200000000000008</v>
      </c>
      <c r="L38" s="15">
        <v>4.9300000000000006</v>
      </c>
      <c r="M38" s="15">
        <v>0</v>
      </c>
      <c r="N38" s="15">
        <v>1.2000000000000011E-2</v>
      </c>
      <c r="O38" s="15">
        <v>63</v>
      </c>
      <c r="P38" s="17" t="s">
        <v>187</v>
      </c>
    </row>
    <row r="39" spans="1:16">
      <c r="A39" s="13" t="s">
        <v>165</v>
      </c>
      <c r="B39" s="13" t="s">
        <v>22</v>
      </c>
      <c r="C39" s="13" t="s">
        <v>23</v>
      </c>
      <c r="D39" s="13">
        <v>1</v>
      </c>
      <c r="E39" s="13" t="s">
        <v>186</v>
      </c>
      <c r="F39" s="15">
        <v>5.1428571428571428E-2</v>
      </c>
      <c r="G39" s="15">
        <v>0.14000000000000001</v>
      </c>
      <c r="H39" s="15">
        <v>18.711838714285715</v>
      </c>
      <c r="I39" s="15">
        <v>18.738053000000001</v>
      </c>
      <c r="J39" s="15">
        <v>0.22</v>
      </c>
      <c r="K39" s="15">
        <v>0.1599999999999997</v>
      </c>
      <c r="L39" s="15">
        <v>1.0000000000000009E-2</v>
      </c>
      <c r="M39" s="15">
        <v>0</v>
      </c>
      <c r="N39" s="15">
        <v>1.9999999999999962E-2</v>
      </c>
      <c r="O39" s="15">
        <v>12</v>
      </c>
      <c r="P39" s="17" t="s">
        <v>187</v>
      </c>
    </row>
    <row r="40" spans="1:16">
      <c r="A40" s="13" t="s">
        <v>166</v>
      </c>
      <c r="B40" s="13" t="s">
        <v>22</v>
      </c>
      <c r="C40" s="13" t="s">
        <v>23</v>
      </c>
      <c r="D40" s="13">
        <v>2</v>
      </c>
      <c r="E40" s="13" t="s">
        <v>181</v>
      </c>
      <c r="F40" s="15">
        <v>40.770000000000003</v>
      </c>
      <c r="G40" s="15">
        <v>90.93</v>
      </c>
      <c r="H40" s="15">
        <v>94.37034214285714</v>
      </c>
      <c r="I40" s="15">
        <v>95.200215</v>
      </c>
      <c r="J40" s="15">
        <v>1.1328571428571428</v>
      </c>
      <c r="K40" s="15">
        <v>9</v>
      </c>
      <c r="L40" s="15">
        <v>11.399999999999999</v>
      </c>
      <c r="M40" s="15">
        <v>0</v>
      </c>
      <c r="N40" s="15">
        <v>0</v>
      </c>
      <c r="O40" s="15">
        <v>13</v>
      </c>
      <c r="P40" s="17" t="s">
        <v>187</v>
      </c>
    </row>
    <row r="41" spans="1:16">
      <c r="A41" s="13" t="s">
        <v>166</v>
      </c>
      <c r="B41" s="13" t="s">
        <v>22</v>
      </c>
      <c r="C41" s="13" t="s">
        <v>23</v>
      </c>
      <c r="D41" s="13">
        <v>2</v>
      </c>
      <c r="E41" s="13" t="s">
        <v>183</v>
      </c>
      <c r="F41" s="15">
        <v>25.875714285714285</v>
      </c>
      <c r="G41" s="15">
        <v>50.16</v>
      </c>
      <c r="H41" s="15">
        <v>67.203985000000003</v>
      </c>
      <c r="I41" s="15">
        <v>67.213722000000004</v>
      </c>
      <c r="J41" s="15">
        <v>0.81</v>
      </c>
      <c r="K41" s="15">
        <v>9.2999999999999972</v>
      </c>
      <c r="L41" s="15">
        <v>9.3000000000000007</v>
      </c>
      <c r="M41" s="15">
        <v>0</v>
      </c>
      <c r="N41" s="15">
        <v>0</v>
      </c>
      <c r="O41" s="15">
        <v>1</v>
      </c>
      <c r="P41" s="17" t="s">
        <v>187</v>
      </c>
    </row>
    <row r="42" spans="1:16">
      <c r="A42" s="13" t="s">
        <v>166</v>
      </c>
      <c r="B42" s="13" t="s">
        <v>22</v>
      </c>
      <c r="C42" s="13" t="s">
        <v>23</v>
      </c>
      <c r="D42" s="13">
        <v>2</v>
      </c>
      <c r="E42" s="13" t="s">
        <v>184</v>
      </c>
      <c r="F42" s="15">
        <v>17.744285714285713</v>
      </c>
      <c r="G42" s="15">
        <v>34.31</v>
      </c>
      <c r="H42" s="15">
        <v>63.393909071428567</v>
      </c>
      <c r="I42" s="15">
        <v>64.833454000000003</v>
      </c>
      <c r="J42" s="15">
        <v>0.76214285714285712</v>
      </c>
      <c r="K42" s="15">
        <v>14</v>
      </c>
      <c r="L42" s="15">
        <v>12.499999999999996</v>
      </c>
      <c r="M42" s="15">
        <v>0</v>
      </c>
      <c r="N42" s="15">
        <v>75</v>
      </c>
      <c r="O42" s="15">
        <v>21</v>
      </c>
      <c r="P42" s="17" t="s">
        <v>187</v>
      </c>
    </row>
    <row r="43" spans="1:16">
      <c r="A43" s="13" t="s">
        <v>166</v>
      </c>
      <c r="B43" s="13" t="s">
        <v>22</v>
      </c>
      <c r="C43" s="13" t="s">
        <v>23</v>
      </c>
      <c r="D43" s="13">
        <v>2</v>
      </c>
      <c r="E43" s="13" t="s">
        <v>185</v>
      </c>
      <c r="F43" s="15">
        <v>71.352857142857147</v>
      </c>
      <c r="G43" s="15">
        <v>197.83</v>
      </c>
      <c r="H43" s="15">
        <v>175.34437678571427</v>
      </c>
      <c r="I43" s="15">
        <v>237.60732200000001</v>
      </c>
      <c r="J43" s="15">
        <v>2.1057142857142859</v>
      </c>
      <c r="K43" s="15">
        <v>4.9000000000000021</v>
      </c>
      <c r="L43" s="15">
        <v>4.9000000000000004</v>
      </c>
      <c r="M43" s="15">
        <v>0</v>
      </c>
      <c r="N43" s="15">
        <v>8.0000000000000071E-3</v>
      </c>
      <c r="O43" s="15">
        <v>63</v>
      </c>
      <c r="P43" s="17" t="s">
        <v>187</v>
      </c>
    </row>
    <row r="44" spans="1:16">
      <c r="A44" s="13" t="s">
        <v>166</v>
      </c>
      <c r="B44" s="13" t="s">
        <v>22</v>
      </c>
      <c r="C44" s="13" t="s">
        <v>23</v>
      </c>
      <c r="D44" s="13">
        <v>2</v>
      </c>
      <c r="E44" s="13" t="s">
        <v>186</v>
      </c>
      <c r="F44" s="15">
        <v>4.2857142857142858E-2</v>
      </c>
      <c r="G44" s="15">
        <v>0.21</v>
      </c>
      <c r="H44" s="15">
        <v>19.627095642857142</v>
      </c>
      <c r="I44" s="15">
        <v>19.650314000000002</v>
      </c>
      <c r="J44" s="15">
        <v>0.24</v>
      </c>
      <c r="K44" s="15">
        <v>0.16000000000000014</v>
      </c>
      <c r="L44" s="15">
        <v>9.9999999999999534E-3</v>
      </c>
      <c r="M44" s="15">
        <v>0</v>
      </c>
      <c r="N44" s="15">
        <v>2.9000000000000026E-2</v>
      </c>
      <c r="O44" s="15">
        <v>12</v>
      </c>
      <c r="P44" s="17" t="s">
        <v>187</v>
      </c>
    </row>
    <row r="45" spans="1:16">
      <c r="A45" s="13" t="s">
        <v>167</v>
      </c>
      <c r="B45" s="13" t="s">
        <v>22</v>
      </c>
      <c r="C45" s="13" t="s">
        <v>23</v>
      </c>
      <c r="D45" s="13">
        <v>3</v>
      </c>
      <c r="E45" s="13" t="s">
        <v>181</v>
      </c>
      <c r="F45" s="15">
        <v>40.274285714285718</v>
      </c>
      <c r="G45" s="15">
        <v>90.12</v>
      </c>
      <c r="H45" s="15">
        <v>94.572567428571432</v>
      </c>
      <c r="I45" s="15">
        <v>95.158271999999997</v>
      </c>
      <c r="J45" s="15">
        <v>1.1335714285714285</v>
      </c>
      <c r="K45" s="15">
        <v>9</v>
      </c>
      <c r="L45" s="15">
        <v>11.300000000000004</v>
      </c>
      <c r="M45" s="15">
        <v>0</v>
      </c>
      <c r="N45" s="15">
        <v>0</v>
      </c>
      <c r="O45" s="15">
        <v>13</v>
      </c>
      <c r="P45" s="17" t="s">
        <v>187</v>
      </c>
    </row>
    <row r="46" spans="1:16">
      <c r="A46" s="13" t="s">
        <v>167</v>
      </c>
      <c r="B46" s="13" t="s">
        <v>22</v>
      </c>
      <c r="C46" s="13" t="s">
        <v>23</v>
      </c>
      <c r="D46" s="13">
        <v>3</v>
      </c>
      <c r="E46" s="13" t="s">
        <v>183</v>
      </c>
      <c r="F46" s="15">
        <v>26.194285714285716</v>
      </c>
      <c r="G46" s="15">
        <v>54.01</v>
      </c>
      <c r="H46" s="15">
        <v>67.259409714285709</v>
      </c>
      <c r="I46" s="15">
        <v>67.465379999999996</v>
      </c>
      <c r="J46" s="15">
        <v>0.81</v>
      </c>
      <c r="K46" s="15">
        <v>9.3000000000000043</v>
      </c>
      <c r="L46" s="15">
        <v>9.2999999999999972</v>
      </c>
      <c r="M46" s="15">
        <v>0</v>
      </c>
      <c r="N46" s="15">
        <v>0</v>
      </c>
      <c r="O46" s="15">
        <v>1</v>
      </c>
      <c r="P46" s="17" t="s">
        <v>187</v>
      </c>
    </row>
    <row r="47" spans="1:16">
      <c r="A47" s="13" t="s">
        <v>167</v>
      </c>
      <c r="B47" s="13" t="s">
        <v>22</v>
      </c>
      <c r="C47" s="13" t="s">
        <v>23</v>
      </c>
      <c r="D47" s="13">
        <v>3</v>
      </c>
      <c r="E47" s="13" t="s">
        <v>184</v>
      </c>
      <c r="F47" s="15">
        <v>18.735714285714284</v>
      </c>
      <c r="G47" s="15">
        <v>34.83</v>
      </c>
      <c r="H47" s="15">
        <v>63.524232071428571</v>
      </c>
      <c r="I47" s="15">
        <v>63.753421000000003</v>
      </c>
      <c r="J47" s="15">
        <v>0.76071428571428568</v>
      </c>
      <c r="K47" s="15">
        <v>13.900000000000006</v>
      </c>
      <c r="L47" s="15">
        <v>12.399999999999999</v>
      </c>
      <c r="M47" s="15">
        <v>0</v>
      </c>
      <c r="N47" s="15">
        <v>74</v>
      </c>
      <c r="O47" s="15">
        <v>15</v>
      </c>
      <c r="P47" s="17" t="s">
        <v>187</v>
      </c>
    </row>
    <row r="48" spans="1:16">
      <c r="A48" s="13" t="s">
        <v>167</v>
      </c>
      <c r="B48" s="13" t="s">
        <v>22</v>
      </c>
      <c r="C48" s="13" t="s">
        <v>23</v>
      </c>
      <c r="D48" s="13">
        <v>3</v>
      </c>
      <c r="E48" s="13" t="s">
        <v>185</v>
      </c>
      <c r="F48" s="15">
        <v>59.53857142857143</v>
      </c>
      <c r="G48" s="15">
        <v>215.48</v>
      </c>
      <c r="H48" s="15">
        <v>173.60673657142857</v>
      </c>
      <c r="I48" s="15">
        <v>241.90648300000001</v>
      </c>
      <c r="J48" s="15">
        <v>2.0842857142857141</v>
      </c>
      <c r="K48" s="15">
        <v>4.8999999999999986</v>
      </c>
      <c r="L48" s="15">
        <v>5</v>
      </c>
      <c r="M48" s="15">
        <v>0</v>
      </c>
      <c r="N48" s="15">
        <v>8.0000000000000071E-3</v>
      </c>
      <c r="O48" s="15">
        <v>63</v>
      </c>
      <c r="P48" s="17" t="s">
        <v>187</v>
      </c>
    </row>
    <row r="49" spans="1:16">
      <c r="A49" s="13" t="s">
        <v>167</v>
      </c>
      <c r="B49" s="13" t="s">
        <v>22</v>
      </c>
      <c r="C49" s="13" t="s">
        <v>23</v>
      </c>
      <c r="D49" s="13">
        <v>3</v>
      </c>
      <c r="E49" s="13" t="s">
        <v>186</v>
      </c>
      <c r="F49" s="15">
        <v>0.03</v>
      </c>
      <c r="G49" s="15">
        <v>0.13</v>
      </c>
      <c r="H49" s="15">
        <v>19.686265571428571</v>
      </c>
      <c r="I49" s="15">
        <v>19.702743000000002</v>
      </c>
      <c r="J49" s="15">
        <v>0.24</v>
      </c>
      <c r="K49" s="15">
        <v>0.16999999999999993</v>
      </c>
      <c r="L49" s="15">
        <v>1.100000000000001E-2</v>
      </c>
      <c r="M49" s="15">
        <v>0</v>
      </c>
      <c r="N49" s="15">
        <v>3.0000000000000027E-2</v>
      </c>
      <c r="O49" s="15">
        <v>12</v>
      </c>
      <c r="P49" s="17" t="s">
        <v>187</v>
      </c>
    </row>
  </sheetData>
  <mergeCells count="2">
    <mergeCell ref="A1:P1"/>
    <mergeCell ref="A2:P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7"/>
  <sheetViews>
    <sheetView workbookViewId="0">
      <selection activeCell="A2" sqref="A2:V2"/>
    </sheetView>
  </sheetViews>
  <sheetFormatPr defaultRowHeight="13.8"/>
  <cols>
    <col min="1" max="1" width="14" customWidth="1"/>
    <col min="2" max="8" width="15" customWidth="1"/>
    <col min="9" max="9" width="15.09765625" customWidth="1"/>
    <col min="10" max="22" width="15" customWidth="1"/>
  </cols>
  <sheetData>
    <row r="1" spans="1:22" ht="21">
      <c r="A1" s="41" t="s">
        <v>188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>
      <c r="A2" s="43" t="s">
        <v>189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</row>
    <row r="3" spans="1:2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39.6">
      <c r="A4" s="6" t="s">
        <v>14</v>
      </c>
      <c r="B4" s="6" t="s">
        <v>190</v>
      </c>
      <c r="C4" s="6" t="s">
        <v>191</v>
      </c>
      <c r="D4" s="6" t="s">
        <v>192</v>
      </c>
      <c r="E4" s="6" t="s">
        <v>193</v>
      </c>
      <c r="F4" s="6" t="s">
        <v>194</v>
      </c>
      <c r="G4" s="6" t="s">
        <v>195</v>
      </c>
      <c r="H4" s="6" t="s">
        <v>196</v>
      </c>
      <c r="I4" s="6" t="s">
        <v>197</v>
      </c>
      <c r="J4" s="6" t="s">
        <v>198</v>
      </c>
      <c r="K4" s="6" t="s">
        <v>199</v>
      </c>
      <c r="L4" s="6" t="s">
        <v>200</v>
      </c>
      <c r="M4" s="6" t="s">
        <v>201</v>
      </c>
      <c r="N4" s="6" t="s">
        <v>202</v>
      </c>
      <c r="O4" s="6" t="s">
        <v>203</v>
      </c>
      <c r="P4" s="6" t="s">
        <v>204</v>
      </c>
      <c r="Q4" s="6" t="s">
        <v>205</v>
      </c>
      <c r="R4" s="6" t="s">
        <v>206</v>
      </c>
      <c r="S4" s="6" t="s">
        <v>207</v>
      </c>
      <c r="T4" s="6" t="s">
        <v>208</v>
      </c>
      <c r="U4" s="6" t="s">
        <v>209</v>
      </c>
      <c r="V4" s="6" t="s">
        <v>210</v>
      </c>
    </row>
    <row r="5" spans="1:22">
      <c r="A5" s="19" t="s">
        <v>17</v>
      </c>
      <c r="B5" s="20">
        <f>IF(COUNT(Execuções!K5:K7)=0,"",AVERAGE(Execuções!K5:K7))</f>
        <v>4.1099584443422605</v>
      </c>
      <c r="C5" s="20" t="e">
        <f ca="1">IF(COUNT(Execuções!K5:K7)&lt;2,"",_xludf.STDEV.S(Execuções!K5:K7))</f>
        <v>#NAME?</v>
      </c>
      <c r="D5" s="20">
        <f>IF(COUNT(Execuções!M5:M7)=0,"",AVERAGE(Execuções!M5:M7))</f>
        <v>0</v>
      </c>
      <c r="E5" s="20" t="e">
        <f ca="1">IF(COUNT(Execuções!M5:M7)&lt;2,"",_xludf.STDEV.S(Execuções!M5:M7))</f>
        <v>#NAME?</v>
      </c>
      <c r="F5" s="20">
        <f>IF(COUNT(Execuções!Q5:Q7)=0,"",AVERAGE(Execuções!Q5:Q7))</f>
        <v>27.665127633333338</v>
      </c>
      <c r="G5" s="20" t="e">
        <f ca="1">IF(COUNT(Execuções!Q5:Q7)&lt;2,"",_xludf.STDEV.S(Execuções!Q5:Q7))</f>
        <v>#NAME?</v>
      </c>
      <c r="H5" s="20">
        <f>IF(COUNT(Execuções!R5:R7)=0,"",AVERAGE(Execuções!R5:R7))</f>
        <v>28.879137799999999</v>
      </c>
      <c r="I5" s="20" t="e">
        <f ca="1">IF(COUNT(Execuções!R5:R7)&lt;2,"",_xludf.STDEV.S(Execuções!R5:R7))</f>
        <v>#NAME?</v>
      </c>
      <c r="J5" s="20">
        <f>IF(COUNT(Execuções!S5:S7)=0,"",AVERAGE(Execuções!S5:S7))</f>
        <v>31.682186640000001</v>
      </c>
      <c r="K5" s="20" t="e">
        <f ca="1">IF(COUNT(Execuções!S5:S7)&lt;2,"",_xludf.STDEV.S(Execuções!S5:S7))</f>
        <v>#NAME?</v>
      </c>
      <c r="L5" s="20">
        <f>IF(COUNT(Execuções!V5:V7)=0,"",AVERAGE(Execuções!V5:V7))</f>
        <v>0</v>
      </c>
      <c r="M5" s="20" t="e">
        <f ca="1">IF(COUNT(Execuções!V5:V7)&lt;2,"",_xludf.STDEV.S(Execuções!V5:V7))</f>
        <v>#NAME?</v>
      </c>
      <c r="N5" s="20">
        <f>IF(COUNT(Execuções!J5:J7)=0,"",AVERAGE(Execuções!J5:J7))</f>
        <v>91</v>
      </c>
      <c r="O5" s="20" t="e">
        <f ca="1">IF(COUNT(Execuções!J5:J7)&lt;2,"",_xludf.STDEV.S(Execuções!J5:J7))</f>
        <v>#NAME?</v>
      </c>
      <c r="P5" s="20">
        <f>IF(COUNT(Execuções!Z5:Z7)=0,"",AVERAGE(Execuções!Z5:Z7))</f>
        <v>0</v>
      </c>
      <c r="Q5" s="20" t="e">
        <f ca="1">IF(COUNT(Execuções!Z5:Z7)&lt;2,"",_xludf.STDEV.S(Execuções!Z5:Z7))</f>
        <v>#NAME?</v>
      </c>
      <c r="R5" s="20">
        <f>IF(COUNT(Execuções!AD5:AD7)=0,"",AVERAGE(Execuções!AD5:AD7))</f>
        <v>29.333333333333332</v>
      </c>
      <c r="S5" s="20" t="e">
        <f ca="1">IF(COUNT(Execuções!AD5:AD7)&lt;2,"",_xludf.STDEV.S(Execuções!AD5:AD7))</f>
        <v>#NAME?</v>
      </c>
      <c r="T5" s="20">
        <f>IF(COUNT(Execuções!AG5:AG7)=0,"",AVERAGE(Execuções!AG5:AG7))</f>
        <v>370</v>
      </c>
      <c r="U5" s="20" t="e">
        <f ca="1">IF(COUNT(Execuções!AG5:AG7)&lt;2,"",_xludf.STDEV.S(Execuções!AG5:AG7))</f>
        <v>#NAME?</v>
      </c>
      <c r="V5" s="21">
        <f>3</f>
        <v>3</v>
      </c>
    </row>
    <row r="6" spans="1:22">
      <c r="A6" s="22" t="s">
        <v>20</v>
      </c>
      <c r="B6" s="15">
        <f>IF(COUNT(Execuções!K8:K10)=0,"",AVERAGE(Execuções!K8:K10))</f>
        <v>16.212016489850967</v>
      </c>
      <c r="C6" s="15" t="e">
        <f ca="1">IF(COUNT(Execuções!K8:K10)&lt;2,"",_xludf.STDEV.S(Execuções!K8:K10))</f>
        <v>#NAME?</v>
      </c>
      <c r="D6" s="15">
        <f>IF(COUNT(Execuções!M8:M10)=0,"",AVERAGE(Execuções!M8:M10))</f>
        <v>0</v>
      </c>
      <c r="E6" s="15" t="e">
        <f ca="1">IF(COUNT(Execuções!M8:M10)&lt;2,"",_xludf.STDEV.S(Execuções!M8:M10))</f>
        <v>#NAME?</v>
      </c>
      <c r="F6" s="15">
        <f>IF(COUNT(Execuções!Q8:Q10)=0,"",AVERAGE(Execuções!Q8:Q10))</f>
        <v>25.323873200000005</v>
      </c>
      <c r="G6" s="15" t="e">
        <f ca="1">IF(COUNT(Execuções!Q8:Q10)&lt;2,"",_xludf.STDEV.S(Execuções!Q8:Q10))</f>
        <v>#NAME?</v>
      </c>
      <c r="H6" s="15">
        <f>IF(COUNT(Execuções!R8:R10)=0,"",AVERAGE(Execuções!R8:R10))</f>
        <v>27.233060466666668</v>
      </c>
      <c r="I6" s="15" t="e">
        <f ca="1">IF(COUNT(Execuções!R8:R10)&lt;2,"",_xludf.STDEV.S(Execuções!R8:R10))</f>
        <v>#NAME?</v>
      </c>
      <c r="J6" s="15">
        <f>IF(COUNT(Execuções!S8:S10)=0,"",AVERAGE(Execuções!S8:S10))</f>
        <v>33.648969440000023</v>
      </c>
      <c r="K6" s="15" t="e">
        <f ca="1">IF(COUNT(Execuções!S8:S10)&lt;2,"",_xludf.STDEV.S(Execuções!S8:S10))</f>
        <v>#NAME?</v>
      </c>
      <c r="L6" s="15">
        <f>IF(COUNT(Execuções!V8:V10)=0,"",AVERAGE(Execuções!V8:V10))</f>
        <v>0</v>
      </c>
      <c r="M6" s="15" t="e">
        <f ca="1">IF(COUNT(Execuções!V8:V10)&lt;2,"",_xludf.STDEV.S(Execuções!V8:V10))</f>
        <v>#NAME?</v>
      </c>
      <c r="N6" s="15">
        <f>IF(COUNT(Execuções!J8:J10)=0,"",AVERAGE(Execuções!J8:J10))</f>
        <v>91.666666666666671</v>
      </c>
      <c r="O6" s="15" t="e">
        <f ca="1">IF(COUNT(Execuções!J8:J10)&lt;2,"",_xludf.STDEV.S(Execuções!J8:J10))</f>
        <v>#NAME?</v>
      </c>
      <c r="P6" s="15">
        <f>IF(COUNT(Execuções!Z8:Z10)=0,"",AVERAGE(Execuções!Z8:Z10))</f>
        <v>0</v>
      </c>
      <c r="Q6" s="15" t="e">
        <f ca="1">IF(COUNT(Execuções!Z8:Z10)&lt;2,"",_xludf.STDEV.S(Execuções!Z8:Z10))</f>
        <v>#NAME?</v>
      </c>
      <c r="R6" s="15">
        <f>IF(COUNT(Execuções!AD8:AD10)=0,"",AVERAGE(Execuções!AD8:AD10))</f>
        <v>3</v>
      </c>
      <c r="S6" s="15" t="e">
        <f ca="1">IF(COUNT(Execuções!AD8:AD10)&lt;2,"",_xludf.STDEV.S(Execuções!AD8:AD10))</f>
        <v>#NAME?</v>
      </c>
      <c r="T6" s="15">
        <f>IF(COUNT(Execuções!AG8:AG10)=0,"",AVERAGE(Execuções!AG8:AG10))</f>
        <v>1459</v>
      </c>
      <c r="U6" s="15" t="e">
        <f ca="1">IF(COUNT(Execuções!AG8:AG10)&lt;2,"",_xludf.STDEV.S(Execuções!AG8:AG10))</f>
        <v>#NAME?</v>
      </c>
      <c r="V6" s="16">
        <f>3</f>
        <v>3</v>
      </c>
    </row>
    <row r="7" spans="1:22">
      <c r="A7" s="23" t="s">
        <v>23</v>
      </c>
      <c r="B7" s="24">
        <f>IF(COUNT(Execuções!K11:K13)=0,"",AVERAGE(Execuções!K11:K13))</f>
        <v>32.323570208149611</v>
      </c>
      <c r="C7" s="24" t="e">
        <f ca="1">IF(COUNT(Execuções!K11:K13)&lt;2,"",_xludf.STDEV.S(Execuções!K11:K13))</f>
        <v>#NAME?</v>
      </c>
      <c r="D7" s="24">
        <f>IF(COUNT(Execuções!M11:M13)=0,"",AVERAGE(Execuções!M11:M13))</f>
        <v>0</v>
      </c>
      <c r="E7" s="24" t="e">
        <f ca="1">IF(COUNT(Execuções!M11:M13)&lt;2,"",_xludf.STDEV.S(Execuções!M11:M13))</f>
        <v>#NAME?</v>
      </c>
      <c r="F7" s="24">
        <f>IF(COUNT(Execuções!Q11:Q13)=0,"",AVERAGE(Execuções!Q11:Q13))</f>
        <v>29.855751333333341</v>
      </c>
      <c r="G7" s="24" t="e">
        <f ca="1">IF(COUNT(Execuções!Q11:Q13)&lt;2,"",_xludf.STDEV.S(Execuções!Q11:Q13))</f>
        <v>#NAME?</v>
      </c>
      <c r="H7" s="24">
        <f>IF(COUNT(Execuções!R11:R13)=0,"",AVERAGE(Execuções!R11:R13))</f>
        <v>33.677591999999997</v>
      </c>
      <c r="I7" s="24" t="e">
        <f ca="1">IF(COUNT(Execuções!R11:R13)&lt;2,"",_xludf.STDEV.S(Execuções!R11:R13))</f>
        <v>#NAME?</v>
      </c>
      <c r="J7" s="24">
        <f>IF(COUNT(Execuções!S11:S13)=0,"",AVERAGE(Execuções!S11:S13))</f>
        <v>100.72645728000015</v>
      </c>
      <c r="K7" s="24" t="e">
        <f ca="1">IF(COUNT(Execuções!S11:S13)&lt;2,"",_xludf.STDEV.S(Execuções!S11:S13))</f>
        <v>#NAME?</v>
      </c>
      <c r="L7" s="24">
        <f>IF(COUNT(Execuções!V11:V13)=0,"",AVERAGE(Execuções!V11:V13))</f>
        <v>0</v>
      </c>
      <c r="M7" s="24" t="e">
        <f ca="1">IF(COUNT(Execuções!V11:V13)&lt;2,"",_xludf.STDEV.S(Execuções!V11:V13))</f>
        <v>#NAME?</v>
      </c>
      <c r="N7" s="24">
        <f>IF(COUNT(Execuções!J11:J13)=0,"",AVERAGE(Execuções!J11:J13))</f>
        <v>91</v>
      </c>
      <c r="O7" s="24" t="e">
        <f ca="1">IF(COUNT(Execuções!J11:J13)&lt;2,"",_xludf.STDEV.S(Execuções!J11:J13))</f>
        <v>#NAME?</v>
      </c>
      <c r="P7" s="24">
        <f>IF(COUNT(Execuções!Z11:Z13)=0,"",AVERAGE(Execuções!Z11:Z13))</f>
        <v>0</v>
      </c>
      <c r="Q7" s="24" t="e">
        <f ca="1">IF(COUNT(Execuções!Z11:Z13)&lt;2,"",_xludf.STDEV.S(Execuções!Z11:Z13))</f>
        <v>#NAME?</v>
      </c>
      <c r="R7" s="24">
        <f>IF(COUNT(Execuções!AD11:AD13)=0,"",AVERAGE(Execuções!AD11:AD13))</f>
        <v>3</v>
      </c>
      <c r="S7" s="24" t="e">
        <f ca="1">IF(COUNT(Execuções!AD11:AD13)&lt;2,"",_xludf.STDEV.S(Execuções!AD11:AD13))</f>
        <v>#NAME?</v>
      </c>
      <c r="T7" s="24">
        <f>IF(COUNT(Execuções!AG11:AG13)=0,"",AVERAGE(Execuções!AG11:AG13))</f>
        <v>2909</v>
      </c>
      <c r="U7" s="24" t="e">
        <f ca="1">IF(COUNT(Execuções!AG11:AG13)&lt;2,"",_xludf.STDEV.S(Execuções!AG11:AG13))</f>
        <v>#NAME?</v>
      </c>
      <c r="V7" s="25">
        <f>3</f>
        <v>3</v>
      </c>
    </row>
    <row r="8" spans="1:2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>
      <c r="A10" s="6" t="s">
        <v>14</v>
      </c>
      <c r="B10" s="6" t="s">
        <v>211</v>
      </c>
      <c r="C10" s="6" t="s">
        <v>212</v>
      </c>
      <c r="D10" s="6" t="s">
        <v>213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>
      <c r="A11" s="26" t="s">
        <v>17</v>
      </c>
      <c r="B11" s="27">
        <f>IF(F5="","",F5)</f>
        <v>27.665127633333338</v>
      </c>
      <c r="C11" s="27">
        <f>IF(H5="","",H5)</f>
        <v>28.879137799999999</v>
      </c>
      <c r="D11" s="27">
        <f>IF(J5="","",J5)</f>
        <v>31.682186640000001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>
      <c r="A12" s="26" t="s">
        <v>20</v>
      </c>
      <c r="B12" s="27">
        <f>IF(F6="","",F6)</f>
        <v>25.323873200000005</v>
      </c>
      <c r="C12" s="27">
        <f>IF(H6="","",H6)</f>
        <v>27.233060466666668</v>
      </c>
      <c r="D12" s="27">
        <f>IF(J6="","",J6)</f>
        <v>33.648969440000023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>
      <c r="A13" s="26" t="s">
        <v>23</v>
      </c>
      <c r="B13" s="27">
        <f>IF(F7="","",F7)</f>
        <v>29.855751333333341</v>
      </c>
      <c r="C13" s="27">
        <f>IF(H7="","",H7)</f>
        <v>33.677591999999997</v>
      </c>
      <c r="D13" s="27">
        <f>IF(J7="","",J7)</f>
        <v>100.72645728000015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</sheetData>
  <mergeCells count="2">
    <mergeCell ref="A1:V1"/>
    <mergeCell ref="A2:V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"/>
  <sheetViews>
    <sheetView workbookViewId="0">
      <selection activeCell="G11" sqref="G11"/>
    </sheetView>
  </sheetViews>
  <sheetFormatPr defaultRowHeight="13.8"/>
  <cols>
    <col min="1" max="1" width="14" customWidth="1"/>
    <col min="2" max="2" width="24" customWidth="1"/>
    <col min="3" max="9" width="17" customWidth="1"/>
  </cols>
  <sheetData>
    <row r="1" spans="1:9" ht="21">
      <c r="A1" s="41" t="s">
        <v>214</v>
      </c>
      <c r="B1" s="41"/>
      <c r="C1" s="41"/>
      <c r="D1" s="41"/>
      <c r="E1" s="41"/>
      <c r="F1" s="41"/>
      <c r="G1" s="41"/>
      <c r="H1" s="41"/>
      <c r="I1" s="41"/>
    </row>
    <row r="2" spans="1:9">
      <c r="A2" s="43" t="s">
        <v>215</v>
      </c>
      <c r="B2" s="43"/>
      <c r="C2" s="43"/>
      <c r="D2" s="43"/>
      <c r="E2" s="43"/>
      <c r="F2" s="43"/>
      <c r="G2" s="43"/>
      <c r="H2" s="43"/>
      <c r="I2" s="43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26.4">
      <c r="A4" s="6" t="s">
        <v>14</v>
      </c>
      <c r="B4" s="6" t="s">
        <v>170</v>
      </c>
      <c r="C4" s="6" t="s">
        <v>216</v>
      </c>
      <c r="D4" s="6" t="s">
        <v>217</v>
      </c>
      <c r="E4" s="6" t="s">
        <v>218</v>
      </c>
      <c r="F4" s="6" t="s">
        <v>173</v>
      </c>
      <c r="G4" s="6" t="s">
        <v>219</v>
      </c>
      <c r="H4" s="6" t="s">
        <v>220</v>
      </c>
      <c r="I4" s="6" t="s">
        <v>221</v>
      </c>
    </row>
    <row r="5" spans="1:9">
      <c r="A5" s="14" t="s">
        <v>17</v>
      </c>
      <c r="B5" s="14" t="s">
        <v>181</v>
      </c>
      <c r="C5" s="28">
        <f>IF(COUNT(Recursos!F5,Recursos!F10,Recursos!F15)=0,"",AVERAGE(Recursos!F5,Recursos!F10,Recursos!F15))</f>
        <v>5.8082051282051284</v>
      </c>
      <c r="D5" s="28" t="e">
        <f ca="1">IF(COUNT(Recursos!F5,Recursos!F10,Recursos!F15)&lt;2,"",_xludf.STDEV.S(Recursos!F5,Recursos!F10,Recursos!F15))</f>
        <v>#NAME?</v>
      </c>
      <c r="E5" s="28">
        <f>IF(COUNT(Recursos!G5,Recursos!G10,Recursos!G15)=0,"",AVERAGE(Recursos!G5,Recursos!G10,Recursos!G15))</f>
        <v>10.790000000000001</v>
      </c>
      <c r="F5" s="28">
        <f>IF(COUNT(Recursos!H5,Recursos!H10,Recursos!H15)=0,"",AVERAGE(Recursos!H5,Recursos!H10,Recursos!H15))</f>
        <v>92.660510153846147</v>
      </c>
      <c r="G5" s="28" t="e">
        <f ca="1">IF(COUNT(Recursos!H5,Recursos!H10,Recursos!H15)&lt;2,"",_xludf.STDEV.S(Recursos!H5,Recursos!H10,Recursos!H15))</f>
        <v>#NAME?</v>
      </c>
      <c r="H5" s="28">
        <f>IF(COUNT(Recursos!I5,Recursos!I10,Recursos!I15)=0,"",AVERAGE(Recursos!I5,Recursos!I10,Recursos!I15))</f>
        <v>92.956262333333328</v>
      </c>
      <c r="I5" s="28" t="e">
        <f ca="1">IF(COUNT(Recursos!I5,Recursos!I10,Recursos!I15)&lt;2,"",_xludf.STDEV.S(Recursos!I5,Recursos!I10,Recursos!I15))</f>
        <v>#NAME?</v>
      </c>
    </row>
    <row r="6" spans="1:9">
      <c r="A6" s="14" t="s">
        <v>17</v>
      </c>
      <c r="B6" s="14" t="s">
        <v>183</v>
      </c>
      <c r="C6" s="28">
        <f>IF(COUNT(Recursos!F6,Recursos!F11,Recursos!F16)=0,"",AVERAGE(Recursos!F6,Recursos!F11,Recursos!F16))</f>
        <v>3.5317948717948711</v>
      </c>
      <c r="D6" s="28" t="e">
        <f ca="1">IF(COUNT(Recursos!F6,Recursos!F11,Recursos!F16)&lt;2,"",_xludf.STDEV.S(Recursos!F6,Recursos!F11,Recursos!F16))</f>
        <v>#NAME?</v>
      </c>
      <c r="E6" s="28">
        <f>IF(COUNT(Recursos!G6,Recursos!G11,Recursos!G16)=0,"",AVERAGE(Recursos!G6,Recursos!G11,Recursos!G16))</f>
        <v>6.8866666666666667</v>
      </c>
      <c r="F6" s="28">
        <f>IF(COUNT(Recursos!H6,Recursos!H11,Recursos!H16)=0,"",AVERAGE(Recursos!H6,Recursos!H11,Recursos!H16))</f>
        <v>67.105637769230768</v>
      </c>
      <c r="G6" s="28" t="e">
        <f ca="1">IF(COUNT(Recursos!H6,Recursos!H11,Recursos!H16)&lt;2,"",_xludf.STDEV.S(Recursos!H6,Recursos!H11,Recursos!H16))</f>
        <v>#NAME?</v>
      </c>
      <c r="H6" s="28">
        <f>IF(COUNT(Recursos!I6,Recursos!I11,Recursos!I16)=0,"",AVERAGE(Recursos!I6,Recursos!I11,Recursos!I16))</f>
        <v>67.276636333333329</v>
      </c>
      <c r="I6" s="28" t="e">
        <f ca="1">IF(COUNT(Recursos!I6,Recursos!I11,Recursos!I16)&lt;2,"",_xludf.STDEV.S(Recursos!I6,Recursos!I11,Recursos!I16))</f>
        <v>#NAME?</v>
      </c>
    </row>
    <row r="7" spans="1:9">
      <c r="A7" s="14" t="s">
        <v>17</v>
      </c>
      <c r="B7" s="14" t="s">
        <v>184</v>
      </c>
      <c r="C7" s="28">
        <f>IF(COUNT(Recursos!F7,Recursos!F12,Recursos!F17)=0,"",AVERAGE(Recursos!F7,Recursos!F12,Recursos!F17))</f>
        <v>4.0038461538461538</v>
      </c>
      <c r="D7" s="28" t="e">
        <f ca="1">IF(COUNT(Recursos!F7,Recursos!F12,Recursos!F17)&lt;2,"",_xludf.STDEV.S(Recursos!F7,Recursos!F12,Recursos!F17))</f>
        <v>#NAME?</v>
      </c>
      <c r="E7" s="28">
        <f>IF(COUNT(Recursos!G7,Recursos!G12,Recursos!G17)=0,"",AVERAGE(Recursos!G7,Recursos!G12,Recursos!G17))</f>
        <v>9.5466666666666669</v>
      </c>
      <c r="F7" s="28">
        <f>IF(COUNT(Recursos!H7,Recursos!H12,Recursos!H17)=0,"",AVERAGE(Recursos!H7,Recursos!H12,Recursos!H17))</f>
        <v>60.536712230769233</v>
      </c>
      <c r="G7" s="28" t="e">
        <f ca="1">IF(COUNT(Recursos!H7,Recursos!H12,Recursos!H17)&lt;2,"",_xludf.STDEV.S(Recursos!H7,Recursos!H12,Recursos!H17))</f>
        <v>#NAME?</v>
      </c>
      <c r="H7" s="28">
        <f>IF(COUNT(Recursos!I7,Recursos!I12,Recursos!I17)=0,"",AVERAGE(Recursos!I7,Recursos!I12,Recursos!I17))</f>
        <v>61.145961666666665</v>
      </c>
      <c r="I7" s="28" t="e">
        <f ca="1">IF(COUNT(Recursos!I7,Recursos!I12,Recursos!I17)&lt;2,"",_xludf.STDEV.S(Recursos!I7,Recursos!I12,Recursos!I17))</f>
        <v>#NAME?</v>
      </c>
    </row>
    <row r="8" spans="1:9">
      <c r="A8" s="14" t="s">
        <v>17</v>
      </c>
      <c r="B8" s="14" t="s">
        <v>185</v>
      </c>
      <c r="C8" s="28">
        <f>IF(COUNT(Recursos!F8,Recursos!F13,Recursos!F18)=0,"",AVERAGE(Recursos!F8,Recursos!F13,Recursos!F18))</f>
        <v>43.271794871794874</v>
      </c>
      <c r="D8" s="28" t="e">
        <f ca="1">IF(COUNT(Recursos!F8,Recursos!F13,Recursos!F18)&lt;2,"",_xludf.STDEV.S(Recursos!F8,Recursos!F13,Recursos!F18))</f>
        <v>#NAME?</v>
      </c>
      <c r="E8" s="28">
        <f>IF(COUNT(Recursos!G8,Recursos!G13,Recursos!G18)=0,"",AVERAGE(Recursos!G8,Recursos!G13,Recursos!G18))</f>
        <v>205.04666666666665</v>
      </c>
      <c r="F8" s="28">
        <f>IF(COUNT(Recursos!H8,Recursos!H13,Recursos!H18)=0,"",AVERAGE(Recursos!H8,Recursos!H13,Recursos!H18))</f>
        <v>166.59990579487177</v>
      </c>
      <c r="G8" s="28" t="e">
        <f ca="1">IF(COUNT(Recursos!H8,Recursos!H13,Recursos!H18)&lt;2,"",_xludf.STDEV.S(Recursos!H8,Recursos!H13,Recursos!H18))</f>
        <v>#NAME?</v>
      </c>
      <c r="H8" s="28">
        <f>IF(COUNT(Recursos!I8,Recursos!I13,Recursos!I18)=0,"",AVERAGE(Recursos!I8,Recursos!I13,Recursos!I18))</f>
        <v>203.77326933333333</v>
      </c>
      <c r="I8" s="28" t="e">
        <f ca="1">IF(COUNT(Recursos!I8,Recursos!I13,Recursos!I18)&lt;2,"",_xludf.STDEV.S(Recursos!I8,Recursos!I13,Recursos!I18))</f>
        <v>#NAME?</v>
      </c>
    </row>
    <row r="9" spans="1:9">
      <c r="A9" s="14" t="s">
        <v>17</v>
      </c>
      <c r="B9" s="14" t="s">
        <v>186</v>
      </c>
      <c r="C9" s="28">
        <f>IF(COUNT(Recursos!F9,Recursos!F14,Recursos!F19)=0,"",AVERAGE(Recursos!F9,Recursos!F14,Recursos!F19))</f>
        <v>6.6666666666666666E-2</v>
      </c>
      <c r="D9" s="28" t="e">
        <f ca="1">IF(COUNT(Recursos!F9,Recursos!F14,Recursos!F19)&lt;2,"",_xludf.STDEV.S(Recursos!F9,Recursos!F14,Recursos!F19))</f>
        <v>#NAME?</v>
      </c>
      <c r="E9" s="28">
        <f>IF(COUNT(Recursos!G9,Recursos!G14,Recursos!G19)=0,"",AVERAGE(Recursos!G9,Recursos!G14,Recursos!G19))</f>
        <v>0.33</v>
      </c>
      <c r="F9" s="28">
        <f>IF(COUNT(Recursos!H9,Recursos!H14,Recursos!H19)=0,"",AVERAGE(Recursos!H9,Recursos!H14,Recursos!H19))</f>
        <v>18.848825717948717</v>
      </c>
      <c r="G9" s="28" t="e">
        <f ca="1">IF(COUNT(Recursos!H9,Recursos!H14,Recursos!H19)&lt;2,"",_xludf.STDEV.S(Recursos!H9,Recursos!H14,Recursos!H19))</f>
        <v>#NAME?</v>
      </c>
      <c r="H9" s="28">
        <f>IF(COUNT(Recursos!I9,Recursos!I14,Recursos!I19)=0,"",AVERAGE(Recursos!I9,Recursos!I14,Recursos!I19))</f>
        <v>18.853396333333333</v>
      </c>
      <c r="I9" s="28" t="e">
        <f ca="1">IF(COUNT(Recursos!I9,Recursos!I14,Recursos!I19)&lt;2,"",_xludf.STDEV.S(Recursos!I9,Recursos!I14,Recursos!I19))</f>
        <v>#NAME?</v>
      </c>
    </row>
    <row r="10" spans="1:9">
      <c r="A10" s="17" t="s">
        <v>20</v>
      </c>
      <c r="B10" s="17" t="s">
        <v>181</v>
      </c>
      <c r="C10" s="28">
        <f>IF(COUNT(Recursos!F20,Recursos!F25,Recursos!F30)=0,"",AVERAGE(Recursos!F20,Recursos!F25,Recursos!F30))</f>
        <v>19.406904761904759</v>
      </c>
      <c r="D10" s="28" t="e">
        <f ca="1">IF(COUNT(Recursos!F20,Recursos!F25,Recursos!F30)&lt;2,"",_xludf.STDEV.S(Recursos!F20,Recursos!F25,Recursos!F30))</f>
        <v>#NAME?</v>
      </c>
      <c r="E10" s="28">
        <f>IF(COUNT(Recursos!G20,Recursos!G25,Recursos!G30)=0,"",AVERAGE(Recursos!G20,Recursos!G25,Recursos!G30))</f>
        <v>36.163333333333334</v>
      </c>
      <c r="F10" s="28">
        <f>IF(COUNT(Recursos!H20,Recursos!H25,Recursos!H30)=0,"",AVERAGE(Recursos!H20,Recursos!H25,Recursos!H30))</f>
        <v>93.222650619047613</v>
      </c>
      <c r="G10" s="28" t="e">
        <f ca="1">IF(COUNT(Recursos!H20,Recursos!H25,Recursos!H30)&lt;2,"",_xludf.STDEV.S(Recursos!H20,Recursos!H25,Recursos!H30))</f>
        <v>#NAME?</v>
      </c>
      <c r="H10" s="28">
        <f>IF(COUNT(Recursos!I20,Recursos!I25,Recursos!I30)=0,"",AVERAGE(Recursos!I20,Recursos!I25,Recursos!I30))</f>
        <v>93.536474333333331</v>
      </c>
      <c r="I10" s="28" t="e">
        <f ca="1">IF(COUNT(Recursos!I20,Recursos!I25,Recursos!I30)&lt;2,"",_xludf.STDEV.S(Recursos!I20,Recursos!I25,Recursos!I30))</f>
        <v>#NAME?</v>
      </c>
    </row>
    <row r="11" spans="1:9">
      <c r="A11" s="17" t="s">
        <v>20</v>
      </c>
      <c r="B11" s="17" t="s">
        <v>183</v>
      </c>
      <c r="C11" s="28">
        <f>IF(COUNT(Recursos!F21,Recursos!F26,Recursos!F31)=0,"",AVERAGE(Recursos!F21,Recursos!F26,Recursos!F31))</f>
        <v>12.828095238095237</v>
      </c>
      <c r="D11" s="28" t="e">
        <f ca="1">IF(COUNT(Recursos!F21,Recursos!F26,Recursos!F31)&lt;2,"",_xludf.STDEV.S(Recursos!F21,Recursos!F26,Recursos!F31))</f>
        <v>#NAME?</v>
      </c>
      <c r="E11" s="28">
        <f>IF(COUNT(Recursos!G21,Recursos!G26,Recursos!G31)=0,"",AVERAGE(Recursos!G21,Recursos!G26,Recursos!G31))</f>
        <v>24.22</v>
      </c>
      <c r="F11" s="28">
        <f>IF(COUNT(Recursos!H21,Recursos!H26,Recursos!H31)=0,"",AVERAGE(Recursos!H21,Recursos!H26,Recursos!H31))</f>
        <v>67.189504571428571</v>
      </c>
      <c r="G11" s="28" t="e">
        <f ca="1">IF(COUNT(Recursos!H21,Recursos!H26,Recursos!H31)&lt;2,"",_xludf.STDEV.S(Recursos!H21,Recursos!H26,Recursos!H31))</f>
        <v>#NAME?</v>
      </c>
      <c r="H11" s="28">
        <f>IF(COUNT(Recursos!I21,Recursos!I26,Recursos!I31)=0,"",AVERAGE(Recursos!I21,Recursos!I26,Recursos!I31))</f>
        <v>67.350036666666668</v>
      </c>
      <c r="I11" s="28" t="e">
        <f ca="1">IF(COUNT(Recursos!I21,Recursos!I26,Recursos!I31)&lt;2,"",_xludf.STDEV.S(Recursos!I21,Recursos!I26,Recursos!I31))</f>
        <v>#NAME?</v>
      </c>
    </row>
    <row r="12" spans="1:9">
      <c r="A12" s="17" t="s">
        <v>20</v>
      </c>
      <c r="B12" s="17" t="s">
        <v>184</v>
      </c>
      <c r="C12" s="28">
        <f>IF(COUNT(Recursos!F22,Recursos!F27,Recursos!F32)=0,"",AVERAGE(Recursos!F22,Recursos!F27,Recursos!F32))</f>
        <v>9.7916666666666661</v>
      </c>
      <c r="D12" s="28" t="e">
        <f ca="1">IF(COUNT(Recursos!F22,Recursos!F27,Recursos!F32)&lt;2,"",_xludf.STDEV.S(Recursos!F22,Recursos!F27,Recursos!F32))</f>
        <v>#NAME?</v>
      </c>
      <c r="E12" s="28">
        <f>IF(COUNT(Recursos!G22,Recursos!G27,Recursos!G32)=0,"",AVERAGE(Recursos!G22,Recursos!G27,Recursos!G32))</f>
        <v>21.689999999999998</v>
      </c>
      <c r="F12" s="28">
        <f>IF(COUNT(Recursos!H22,Recursos!H27,Recursos!H32)=0,"",AVERAGE(Recursos!H22,Recursos!H27,Recursos!H32))</f>
        <v>60.770721285714281</v>
      </c>
      <c r="G12" s="28" t="e">
        <f ca="1">IF(COUNT(Recursos!H22,Recursos!H27,Recursos!H32)&lt;2,"",_xludf.STDEV.S(Recursos!H22,Recursos!H27,Recursos!H32))</f>
        <v>#NAME?</v>
      </c>
      <c r="H12" s="28">
        <f>IF(COUNT(Recursos!I22,Recursos!I27,Recursos!I32)=0,"",AVERAGE(Recursos!I22,Recursos!I27,Recursos!I32))</f>
        <v>61.282276666666668</v>
      </c>
      <c r="I12" s="28" t="e">
        <f ca="1">IF(COUNT(Recursos!I22,Recursos!I27,Recursos!I32)&lt;2,"",_xludf.STDEV.S(Recursos!I22,Recursos!I27,Recursos!I32))</f>
        <v>#NAME?</v>
      </c>
    </row>
    <row r="13" spans="1:9">
      <c r="A13" s="17" t="s">
        <v>20</v>
      </c>
      <c r="B13" s="17" t="s">
        <v>185</v>
      </c>
      <c r="C13" s="28">
        <f>IF(COUNT(Recursos!F23,Recursos!F28,Recursos!F33)=0,"",AVERAGE(Recursos!F23,Recursos!F28,Recursos!F33))</f>
        <v>50.445714285714281</v>
      </c>
      <c r="D13" s="28" t="e">
        <f ca="1">IF(COUNT(Recursos!F23,Recursos!F28,Recursos!F33)&lt;2,"",_xludf.STDEV.S(Recursos!F23,Recursos!F28,Recursos!F33))</f>
        <v>#NAME?</v>
      </c>
      <c r="E13" s="28">
        <f>IF(COUNT(Recursos!G23,Recursos!G28,Recursos!G33)=0,"",AVERAGE(Recursos!G23,Recursos!G28,Recursos!G33))</f>
        <v>191.92333333333332</v>
      </c>
      <c r="F13" s="28">
        <f>IF(COUNT(Recursos!H23,Recursos!H28,Recursos!H33)=0,"",AVERAGE(Recursos!H23,Recursos!H28,Recursos!H33))</f>
        <v>172.39588080952379</v>
      </c>
      <c r="G13" s="28" t="e">
        <f ca="1">IF(COUNT(Recursos!H23,Recursos!H28,Recursos!H33)&lt;2,"",_xludf.STDEV.S(Recursos!H23,Recursos!H28,Recursos!H33))</f>
        <v>#NAME?</v>
      </c>
      <c r="H13" s="28">
        <f>IF(COUNT(Recursos!I23,Recursos!I28,Recursos!I33)=0,"",AVERAGE(Recursos!I23,Recursos!I28,Recursos!I33))</f>
        <v>233.90235299999998</v>
      </c>
      <c r="I13" s="28" t="e">
        <f ca="1">IF(COUNT(Recursos!I23,Recursos!I28,Recursos!I33)&lt;2,"",_xludf.STDEV.S(Recursos!I23,Recursos!I28,Recursos!I33))</f>
        <v>#NAME?</v>
      </c>
    </row>
    <row r="14" spans="1:9">
      <c r="A14" s="17" t="s">
        <v>20</v>
      </c>
      <c r="B14" s="17" t="s">
        <v>186</v>
      </c>
      <c r="C14" s="28">
        <f>IF(COUNT(Recursos!F24,Recursos!F29,Recursos!F34)=0,"",AVERAGE(Recursos!F24,Recursos!F29,Recursos!F34))</f>
        <v>8.7857142857142856E-2</v>
      </c>
      <c r="D14" s="28" t="e">
        <f ca="1">IF(COUNT(Recursos!F24,Recursos!F29,Recursos!F34)&lt;2,"",_xludf.STDEV.S(Recursos!F24,Recursos!F29,Recursos!F34))</f>
        <v>#NAME?</v>
      </c>
      <c r="E14" s="28">
        <f>IF(COUNT(Recursos!G24,Recursos!G29,Recursos!G34)=0,"",AVERAGE(Recursos!G24,Recursos!G29,Recursos!G34))</f>
        <v>0.54999999999999993</v>
      </c>
      <c r="F14" s="28">
        <f>IF(COUNT(Recursos!H24,Recursos!H29,Recursos!H34)=0,"",AVERAGE(Recursos!H24,Recursos!H29,Recursos!H34))</f>
        <v>19.105304333333333</v>
      </c>
      <c r="G14" s="28" t="e">
        <f ca="1">IF(COUNT(Recursos!H24,Recursos!H29,Recursos!H34)&lt;2,"",_xludf.STDEV.S(Recursos!H24,Recursos!H29,Recursos!H34))</f>
        <v>#NAME?</v>
      </c>
      <c r="H14" s="28">
        <f>IF(COUNT(Recursos!I24,Recursos!I29,Recursos!I34)=0,"",AVERAGE(Recursos!I24,Recursos!I29,Recursos!I34))</f>
        <v>19.119035999999998</v>
      </c>
      <c r="I14" s="28" t="e">
        <f ca="1">IF(COUNT(Recursos!I24,Recursos!I29,Recursos!I34)&lt;2,"",_xludf.STDEV.S(Recursos!I24,Recursos!I29,Recursos!I34))</f>
        <v>#NAME?</v>
      </c>
    </row>
    <row r="15" spans="1:9">
      <c r="A15" s="18" t="s">
        <v>23</v>
      </c>
      <c r="B15" s="18" t="s">
        <v>181</v>
      </c>
      <c r="C15" s="28">
        <f>IF(COUNT(Recursos!F35,Recursos!F40,Recursos!F45)=0,"",AVERAGE(Recursos!F35,Recursos!F40,Recursos!F45))</f>
        <v>39.920238095238098</v>
      </c>
      <c r="D15" s="28" t="e">
        <f ca="1">IF(COUNT(Recursos!F35,Recursos!F40,Recursos!F45)&lt;2,"",_xludf.STDEV.S(Recursos!F35,Recursos!F40,Recursos!F45))</f>
        <v>#NAME?</v>
      </c>
      <c r="E15" s="28">
        <f>IF(COUNT(Recursos!G35,Recursos!G40,Recursos!G45)=0,"",AVERAGE(Recursos!G35,Recursos!G40,Recursos!G45))</f>
        <v>88.030000000000015</v>
      </c>
      <c r="F15" s="28">
        <f>IF(COUNT(Recursos!H35,Recursos!H40,Recursos!H45)=0,"",AVERAGE(Recursos!H35,Recursos!H40,Recursos!H45))</f>
        <v>93.814596785714286</v>
      </c>
      <c r="G15" s="28" t="e">
        <f ca="1">IF(COUNT(Recursos!H35,Recursos!H40,Recursos!H45)&lt;2,"",_xludf.STDEV.S(Recursos!H35,Recursos!H40,Recursos!H45))</f>
        <v>#NAME?</v>
      </c>
      <c r="H15" s="28">
        <f>IF(COUNT(Recursos!I35,Recursos!I40,Recursos!I45)=0,"",AVERAGE(Recursos!I35,Recursos!I40,Recursos!I45))</f>
        <v>95.105843333333326</v>
      </c>
      <c r="I15" s="28" t="e">
        <f ca="1">IF(COUNT(Recursos!I35,Recursos!I40,Recursos!I45)&lt;2,"",_xludf.STDEV.S(Recursos!I35,Recursos!I40,Recursos!I45))</f>
        <v>#NAME?</v>
      </c>
    </row>
    <row r="16" spans="1:9">
      <c r="A16" s="18" t="s">
        <v>23</v>
      </c>
      <c r="B16" s="18" t="s">
        <v>183</v>
      </c>
      <c r="C16" s="28">
        <f>IF(COUNT(Recursos!F36,Recursos!F41,Recursos!F46)=0,"",AVERAGE(Recursos!F36,Recursos!F41,Recursos!F46))</f>
        <v>25.737857142857141</v>
      </c>
      <c r="D16" s="28" t="e">
        <f ca="1">IF(COUNT(Recursos!F36,Recursos!F41,Recursos!F46)&lt;2,"",_xludf.STDEV.S(Recursos!F36,Recursos!F41,Recursos!F46))</f>
        <v>#NAME?</v>
      </c>
      <c r="E16" s="28">
        <f>IF(COUNT(Recursos!G36,Recursos!G41,Recursos!G46)=0,"",AVERAGE(Recursos!G36,Recursos!G41,Recursos!G46))</f>
        <v>50.233333333333327</v>
      </c>
      <c r="F16" s="28">
        <f>IF(COUNT(Recursos!H36,Recursos!H41,Recursos!H46)=0,"",AVERAGE(Recursos!H36,Recursos!H41,Recursos!H46))</f>
        <v>67.218964571428572</v>
      </c>
      <c r="G16" s="28" t="e">
        <f ca="1">IF(COUNT(Recursos!H36,Recursos!H41,Recursos!H46)&lt;2,"",_xludf.STDEV.S(Recursos!H36,Recursos!H41,Recursos!H46))</f>
        <v>#NAME?</v>
      </c>
      <c r="H16" s="28">
        <f>IF(COUNT(Recursos!I36,Recursos!I41,Recursos!I46)=0,"",AVERAGE(Recursos!I36,Recursos!I41,Recursos!I46))</f>
        <v>67.294112666666663</v>
      </c>
      <c r="I16" s="28" t="e">
        <f ca="1">IF(COUNT(Recursos!I36,Recursos!I41,Recursos!I46)&lt;2,"",_xludf.STDEV.S(Recursos!I36,Recursos!I41,Recursos!I46))</f>
        <v>#NAME?</v>
      </c>
    </row>
    <row r="17" spans="1:9">
      <c r="A17" s="18" t="s">
        <v>23</v>
      </c>
      <c r="B17" s="18" t="s">
        <v>184</v>
      </c>
      <c r="C17" s="28">
        <f>IF(COUNT(Recursos!F37,Recursos!F42,Recursos!F47)=0,"",AVERAGE(Recursos!F37,Recursos!F42,Recursos!F47))</f>
        <v>18.119285714285713</v>
      </c>
      <c r="D17" s="28" t="e">
        <f ca="1">IF(COUNT(Recursos!F37,Recursos!F42,Recursos!F47)&lt;2,"",_xludf.STDEV.S(Recursos!F37,Recursos!F42,Recursos!F47))</f>
        <v>#NAME?</v>
      </c>
      <c r="E17" s="28">
        <f>IF(COUNT(Recursos!G37,Recursos!G42,Recursos!G47)=0,"",AVERAGE(Recursos!G37,Recursos!G42,Recursos!G47))</f>
        <v>37.023333333333333</v>
      </c>
      <c r="F17" s="28">
        <f>IF(COUNT(Recursos!H37,Recursos!H42,Recursos!H47)=0,"",AVERAGE(Recursos!H37,Recursos!H42,Recursos!H47))</f>
        <v>62.079444142857142</v>
      </c>
      <c r="G17" s="28" t="e">
        <f ca="1">IF(COUNT(Recursos!H37,Recursos!H42,Recursos!H47)&lt;2,"",_xludf.STDEV.S(Recursos!H37,Recursos!H42,Recursos!H47))</f>
        <v>#NAME?</v>
      </c>
      <c r="H17" s="28">
        <f>IF(COUNT(Recursos!I37,Recursos!I42,Recursos!I47)=0,"",AVERAGE(Recursos!I37,Recursos!I42,Recursos!I47))</f>
        <v>67.077406666666676</v>
      </c>
      <c r="I17" s="28" t="e">
        <f ca="1">IF(COUNT(Recursos!I37,Recursos!I42,Recursos!I47)&lt;2,"",_xludf.STDEV.S(Recursos!I37,Recursos!I42,Recursos!I47))</f>
        <v>#NAME?</v>
      </c>
    </row>
    <row r="18" spans="1:9">
      <c r="A18" s="18" t="s">
        <v>23</v>
      </c>
      <c r="B18" s="18" t="s">
        <v>185</v>
      </c>
      <c r="C18" s="28">
        <f>IF(COUNT(Recursos!F38,Recursos!F43,Recursos!F48)=0,"",AVERAGE(Recursos!F38,Recursos!F43,Recursos!F48))</f>
        <v>65.860476190476192</v>
      </c>
      <c r="D18" s="28" t="e">
        <f ca="1">IF(COUNT(Recursos!F38,Recursos!F43,Recursos!F48)&lt;2,"",_xludf.STDEV.S(Recursos!F38,Recursos!F43,Recursos!F48))</f>
        <v>#NAME?</v>
      </c>
      <c r="E18" s="28">
        <f>IF(COUNT(Recursos!G38,Recursos!G43,Recursos!G48)=0,"",AVERAGE(Recursos!G38,Recursos!G43,Recursos!G48))</f>
        <v>213.21333333333334</v>
      </c>
      <c r="F18" s="28">
        <f>IF(COUNT(Recursos!H38,Recursos!H43,Recursos!H48)=0,"",AVERAGE(Recursos!H38,Recursos!H43,Recursos!H48))</f>
        <v>172.65552826190478</v>
      </c>
      <c r="G18" s="28" t="e">
        <f ca="1">IF(COUNT(Recursos!H38,Recursos!H43,Recursos!H48)&lt;2,"",_xludf.STDEV.S(Recursos!H38,Recursos!H43,Recursos!H48))</f>
        <v>#NAME?</v>
      </c>
      <c r="H18" s="28">
        <f>IF(COUNT(Recursos!I38,Recursos!I43,Recursos!I48)=0,"",AVERAGE(Recursos!I38,Recursos!I43,Recursos!I48))</f>
        <v>240.89285966666668</v>
      </c>
      <c r="I18" s="28" t="e">
        <f ca="1">IF(COUNT(Recursos!I38,Recursos!I43,Recursos!I48)&lt;2,"",_xludf.STDEV.S(Recursos!I38,Recursos!I43,Recursos!I48))</f>
        <v>#NAME?</v>
      </c>
    </row>
    <row r="19" spans="1:9">
      <c r="A19" s="18" t="s">
        <v>23</v>
      </c>
      <c r="B19" s="18" t="s">
        <v>186</v>
      </c>
      <c r="C19" s="28">
        <f>IF(COUNT(Recursos!F39,Recursos!F44,Recursos!F49)=0,"",AVERAGE(Recursos!F39,Recursos!F44,Recursos!F49))</f>
        <v>4.1428571428571426E-2</v>
      </c>
      <c r="D19" s="28" t="e">
        <f ca="1">IF(COUNT(Recursos!F39,Recursos!F44,Recursos!F49)&lt;2,"",_xludf.STDEV.S(Recursos!F39,Recursos!F44,Recursos!F49))</f>
        <v>#NAME?</v>
      </c>
      <c r="E19" s="28">
        <f>IF(COUNT(Recursos!G39,Recursos!G44,Recursos!G49)=0,"",AVERAGE(Recursos!G39,Recursos!G44,Recursos!G49))</f>
        <v>0.16</v>
      </c>
      <c r="F19" s="28">
        <f>IF(COUNT(Recursos!H39,Recursos!H44,Recursos!H49)=0,"",AVERAGE(Recursos!H39,Recursos!H44,Recursos!H49))</f>
        <v>19.341733309523811</v>
      </c>
      <c r="G19" s="28" t="e">
        <f ca="1">IF(COUNT(Recursos!H39,Recursos!H44,Recursos!H49)&lt;2,"",_xludf.STDEV.S(Recursos!H39,Recursos!H44,Recursos!H49))</f>
        <v>#NAME?</v>
      </c>
      <c r="H19" s="28">
        <f>IF(COUNT(Recursos!I39,Recursos!I44,Recursos!I49)=0,"",AVERAGE(Recursos!I39,Recursos!I44,Recursos!I49))</f>
        <v>19.363703333333333</v>
      </c>
      <c r="I19" s="28" t="e">
        <f ca="1">IF(COUNT(Recursos!I39,Recursos!I44,Recursos!I49)&lt;2,"",_xludf.STDEV.S(Recursos!I39,Recursos!I44,Recursos!I49))</f>
        <v>#NAME?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2"/>
  <sheetViews>
    <sheetView workbookViewId="0">
      <selection sqref="A1:N1"/>
    </sheetView>
  </sheetViews>
  <sheetFormatPr defaultRowHeight="13.8"/>
  <cols>
    <col min="1" max="1" width="16" customWidth="1"/>
    <col min="2" max="2" width="11" customWidth="1"/>
    <col min="3" max="13" width="15" customWidth="1"/>
    <col min="14" max="14" width="32" customWidth="1"/>
  </cols>
  <sheetData>
    <row r="1" spans="1:14" ht="21">
      <c r="A1" s="44" t="s">
        <v>222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3" spans="1:14" ht="27.6">
      <c r="A3" s="29" t="s">
        <v>223</v>
      </c>
      <c r="B3" s="29" t="s">
        <v>224</v>
      </c>
      <c r="C3" s="29" t="s">
        <v>225</v>
      </c>
      <c r="D3" s="29" t="s">
        <v>226</v>
      </c>
      <c r="E3" s="29" t="s">
        <v>227</v>
      </c>
      <c r="F3" s="29" t="s">
        <v>228</v>
      </c>
      <c r="G3" s="29" t="s">
        <v>229</v>
      </c>
      <c r="H3" s="29" t="s">
        <v>230</v>
      </c>
      <c r="I3" s="29" t="s">
        <v>231</v>
      </c>
      <c r="J3" s="29" t="s">
        <v>142</v>
      </c>
      <c r="K3" s="29" t="s">
        <v>232</v>
      </c>
      <c r="L3" s="29" t="s">
        <v>233</v>
      </c>
      <c r="M3" s="29" t="s">
        <v>234</v>
      </c>
      <c r="N3" s="29" t="s">
        <v>235</v>
      </c>
    </row>
    <row r="4" spans="1:14">
      <c r="A4" s="2" t="s">
        <v>155</v>
      </c>
      <c r="B4" s="2" t="s">
        <v>157</v>
      </c>
      <c r="C4" s="2">
        <v>370</v>
      </c>
      <c r="D4" s="2">
        <v>370</v>
      </c>
      <c r="E4" s="2">
        <v>370</v>
      </c>
      <c r="F4" s="2">
        <v>0</v>
      </c>
      <c r="G4" s="2">
        <v>0</v>
      </c>
      <c r="H4" s="2">
        <v>1</v>
      </c>
      <c r="I4" s="2">
        <v>3</v>
      </c>
      <c r="J4" s="2" t="s">
        <v>157</v>
      </c>
      <c r="K4" s="2">
        <v>95</v>
      </c>
      <c r="L4" s="2">
        <v>19</v>
      </c>
      <c r="M4" s="2">
        <v>23532</v>
      </c>
      <c r="N4" s="2" t="s">
        <v>236</v>
      </c>
    </row>
    <row r="5" spans="1:14">
      <c r="A5" s="2" t="s">
        <v>160</v>
      </c>
      <c r="B5" s="2" t="s">
        <v>157</v>
      </c>
      <c r="C5" s="2">
        <v>370</v>
      </c>
      <c r="D5" s="2">
        <v>370</v>
      </c>
      <c r="E5" s="2">
        <v>370</v>
      </c>
      <c r="F5" s="2">
        <v>0</v>
      </c>
      <c r="G5" s="2">
        <v>0</v>
      </c>
      <c r="H5" s="2">
        <v>1</v>
      </c>
      <c r="I5" s="2">
        <v>35</v>
      </c>
      <c r="J5" s="2" t="s">
        <v>157</v>
      </c>
      <c r="K5" s="2">
        <v>115</v>
      </c>
      <c r="L5" s="2">
        <v>23</v>
      </c>
      <c r="M5" s="2">
        <v>36902</v>
      </c>
      <c r="N5" s="2" t="s">
        <v>236</v>
      </c>
    </row>
    <row r="6" spans="1:14">
      <c r="A6" s="2" t="s">
        <v>161</v>
      </c>
      <c r="B6" s="2" t="s">
        <v>157</v>
      </c>
      <c r="C6" s="2">
        <v>370</v>
      </c>
      <c r="D6" s="2">
        <v>370</v>
      </c>
      <c r="E6" s="2">
        <v>370</v>
      </c>
      <c r="F6" s="2">
        <v>0</v>
      </c>
      <c r="G6" s="2">
        <v>0</v>
      </c>
      <c r="H6" s="2">
        <v>1</v>
      </c>
      <c r="I6" s="2">
        <v>50</v>
      </c>
      <c r="J6" s="2" t="s">
        <v>157</v>
      </c>
      <c r="K6" s="2">
        <v>130</v>
      </c>
      <c r="L6" s="2">
        <v>26</v>
      </c>
      <c r="M6" s="2">
        <v>40099</v>
      </c>
      <c r="N6" s="2" t="s">
        <v>236</v>
      </c>
    </row>
    <row r="7" spans="1:14">
      <c r="A7" s="2" t="s">
        <v>162</v>
      </c>
      <c r="B7" s="2" t="s">
        <v>157</v>
      </c>
      <c r="C7" s="2">
        <v>1459</v>
      </c>
      <c r="D7" s="2">
        <v>1459</v>
      </c>
      <c r="E7" s="2">
        <v>1459</v>
      </c>
      <c r="F7" s="2">
        <v>0</v>
      </c>
      <c r="G7" s="2">
        <v>0</v>
      </c>
      <c r="H7" s="2">
        <v>1</v>
      </c>
      <c r="I7" s="2">
        <v>3</v>
      </c>
      <c r="J7" s="2" t="s">
        <v>157</v>
      </c>
      <c r="K7" s="2">
        <v>95</v>
      </c>
      <c r="L7" s="2">
        <v>19</v>
      </c>
      <c r="M7" s="2">
        <v>30260</v>
      </c>
      <c r="N7" s="2" t="s">
        <v>236</v>
      </c>
    </row>
    <row r="8" spans="1:14">
      <c r="A8" s="2" t="s">
        <v>163</v>
      </c>
      <c r="B8" s="2" t="s">
        <v>157</v>
      </c>
      <c r="C8" s="2">
        <v>1459</v>
      </c>
      <c r="D8" s="2">
        <v>1459</v>
      </c>
      <c r="E8" s="2">
        <v>1459</v>
      </c>
      <c r="F8" s="2">
        <v>0</v>
      </c>
      <c r="G8" s="2">
        <v>0</v>
      </c>
      <c r="H8" s="2">
        <v>1</v>
      </c>
      <c r="I8" s="2">
        <v>3</v>
      </c>
      <c r="J8" s="2" t="s">
        <v>157</v>
      </c>
      <c r="K8" s="2">
        <v>95</v>
      </c>
      <c r="L8" s="2">
        <v>19</v>
      </c>
      <c r="M8" s="2">
        <v>30348</v>
      </c>
      <c r="N8" s="2" t="s">
        <v>236</v>
      </c>
    </row>
    <row r="9" spans="1:14">
      <c r="A9" s="2" t="s">
        <v>164</v>
      </c>
      <c r="B9" s="2" t="s">
        <v>157</v>
      </c>
      <c r="C9" s="2">
        <v>1459</v>
      </c>
      <c r="D9" s="2">
        <v>1459</v>
      </c>
      <c r="E9" s="2">
        <v>1459</v>
      </c>
      <c r="F9" s="2">
        <v>0</v>
      </c>
      <c r="G9" s="2">
        <v>0</v>
      </c>
      <c r="H9" s="2">
        <v>1</v>
      </c>
      <c r="I9" s="2">
        <v>3</v>
      </c>
      <c r="J9" s="2" t="s">
        <v>157</v>
      </c>
      <c r="K9" s="2">
        <v>95</v>
      </c>
      <c r="L9" s="2">
        <v>19</v>
      </c>
      <c r="M9" s="2">
        <v>30379</v>
      </c>
      <c r="N9" s="2" t="s">
        <v>236</v>
      </c>
    </row>
    <row r="10" spans="1:14">
      <c r="A10" s="2" t="s">
        <v>165</v>
      </c>
      <c r="B10" s="2" t="s">
        <v>157</v>
      </c>
      <c r="C10" s="2">
        <v>2909</v>
      </c>
      <c r="D10" s="2">
        <v>2909</v>
      </c>
      <c r="E10" s="2">
        <v>2909</v>
      </c>
      <c r="F10" s="2">
        <v>0</v>
      </c>
      <c r="G10" s="2">
        <v>0</v>
      </c>
      <c r="H10" s="2">
        <v>1</v>
      </c>
      <c r="I10" s="2">
        <v>3</v>
      </c>
      <c r="J10" s="2" t="s">
        <v>157</v>
      </c>
      <c r="K10" s="2">
        <v>95</v>
      </c>
      <c r="L10" s="2">
        <v>19</v>
      </c>
      <c r="M10" s="2">
        <v>30314</v>
      </c>
      <c r="N10" s="2" t="s">
        <v>236</v>
      </c>
    </row>
    <row r="11" spans="1:14">
      <c r="A11" s="2" t="s">
        <v>166</v>
      </c>
      <c r="B11" s="2" t="s">
        <v>157</v>
      </c>
      <c r="C11" s="2">
        <v>2909</v>
      </c>
      <c r="D11" s="2">
        <v>2909</v>
      </c>
      <c r="E11" s="2">
        <v>2909</v>
      </c>
      <c r="F11" s="2">
        <v>0</v>
      </c>
      <c r="G11" s="2">
        <v>0</v>
      </c>
      <c r="H11" s="2">
        <v>1</v>
      </c>
      <c r="I11" s="2">
        <v>3</v>
      </c>
      <c r="J11" s="2" t="s">
        <v>157</v>
      </c>
      <c r="K11" s="2">
        <v>95</v>
      </c>
      <c r="L11" s="2">
        <v>19</v>
      </c>
      <c r="M11" s="2">
        <v>30343</v>
      </c>
      <c r="N11" s="2" t="s">
        <v>236</v>
      </c>
    </row>
    <row r="12" spans="1:14">
      <c r="A12" s="2" t="s">
        <v>167</v>
      </c>
      <c r="B12" s="2" t="s">
        <v>157</v>
      </c>
      <c r="C12" s="2">
        <v>2909</v>
      </c>
      <c r="D12" s="2">
        <v>2909</v>
      </c>
      <c r="E12" s="2">
        <v>2909</v>
      </c>
      <c r="F12" s="2">
        <v>0</v>
      </c>
      <c r="G12" s="2">
        <v>0</v>
      </c>
      <c r="H12" s="2">
        <v>1</v>
      </c>
      <c r="I12" s="2">
        <v>3</v>
      </c>
      <c r="J12" s="2" t="s">
        <v>157</v>
      </c>
      <c r="K12" s="2">
        <v>95</v>
      </c>
      <c r="L12" s="2">
        <v>19</v>
      </c>
      <c r="M12" s="2">
        <v>30414</v>
      </c>
      <c r="N12" s="2" t="s">
        <v>236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Instruções</vt:lpstr>
      <vt:lpstr>Configuração</vt:lpstr>
      <vt:lpstr>Execuções</vt:lpstr>
      <vt:lpstr>Recursos</vt:lpstr>
      <vt:lpstr>Resumo</vt:lpstr>
      <vt:lpstr>Resumo Recursos</vt:lpstr>
      <vt:lpstr>Validação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Alisson Rech Honorato</cp:lastModifiedBy>
  <dcterms:modified xsi:type="dcterms:W3CDTF">2026-06-26T19:52:45Z</dcterms:modified>
</cp:coreProperties>
</file>